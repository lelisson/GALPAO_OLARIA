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élisson\Desktop\RELATORIOS  AUTOMATICOS\controle de gastos galpoes\data\"/>
    </mc:Choice>
  </mc:AlternateContent>
  <xr:revisionPtr revIDLastSave="0" documentId="13_ncr:1_{776E08AD-4B66-4D8F-8A82-C8675AD9AEE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SHBOARD" sheetId="1" r:id="rId1"/>
    <sheet name="Lançamentos" sheetId="2" r:id="rId2"/>
    <sheet name="Faturamento" sheetId="3" r:id="rId3"/>
    <sheet name="Orçado" sheetId="4" r:id="rId4"/>
    <sheet name="Cadastro" sheetId="5" r:id="rId5"/>
  </sheets>
  <definedNames>
    <definedName name="_xlnm.Print_Area" localSheetId="0">DASHBOARD!$A$1:$AA$69</definedName>
    <definedName name="Periodo">DASHBOARD!$U$3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2" i="4" l="1"/>
  <c r="A21" i="4"/>
  <c r="B20" i="4"/>
  <c r="A20" i="4"/>
  <c r="B19" i="4"/>
  <c r="A19" i="4"/>
  <c r="B18" i="4"/>
  <c r="A18" i="4"/>
  <c r="B17" i="4"/>
  <c r="A17" i="4"/>
  <c r="B16" i="4"/>
  <c r="J15" i="4"/>
  <c r="I15" i="4"/>
  <c r="G15" i="4"/>
  <c r="B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A21" i="2"/>
  <c r="A22" i="2"/>
  <c r="K23" i="4" l="1"/>
  <c r="L23" i="4"/>
  <c r="M23" i="4"/>
  <c r="N23" i="4"/>
  <c r="K23" i="2"/>
  <c r="L23" i="2"/>
  <c r="M23" i="2"/>
  <c r="N23" i="2"/>
  <c r="P22" i="2"/>
  <c r="O22" i="2"/>
  <c r="P21" i="2"/>
  <c r="O21" i="2"/>
  <c r="B20" i="2"/>
  <c r="A20" i="2"/>
  <c r="O20" i="2" s="1"/>
  <c r="B19" i="2"/>
  <c r="A19" i="2"/>
  <c r="P19" i="2" s="1"/>
  <c r="B18" i="2"/>
  <c r="AM22" i="1" s="1"/>
  <c r="A18" i="2"/>
  <c r="P18" i="2" s="1"/>
  <c r="B17" i="2"/>
  <c r="A17" i="2"/>
  <c r="P17" i="2" s="1"/>
  <c r="P16" i="2"/>
  <c r="O16" i="2"/>
  <c r="B16" i="2"/>
  <c r="J15" i="2"/>
  <c r="I15" i="2"/>
  <c r="G15" i="2"/>
  <c r="O15" i="2" s="1"/>
  <c r="B15" i="2"/>
  <c r="AM19" i="1" s="1"/>
  <c r="B14" i="2"/>
  <c r="AM15" i="1" s="1"/>
  <c r="A14" i="2"/>
  <c r="I14" i="2" s="1"/>
  <c r="B13" i="2"/>
  <c r="AM14" i="1" s="1"/>
  <c r="A13" i="2"/>
  <c r="J12" i="2"/>
  <c r="B12" i="2"/>
  <c r="AM13" i="1" s="1"/>
  <c r="A12" i="2"/>
  <c r="B11" i="2"/>
  <c r="AM12" i="1" s="1"/>
  <c r="A11" i="2"/>
  <c r="B10" i="2"/>
  <c r="AM11" i="1" s="1"/>
  <c r="A10" i="2"/>
  <c r="I10" i="2" s="1"/>
  <c r="I9" i="2"/>
  <c r="B9" i="2"/>
  <c r="A9" i="2"/>
  <c r="G9" i="2" s="1"/>
  <c r="B8" i="2"/>
  <c r="AM9" i="1" s="1"/>
  <c r="A8" i="2"/>
  <c r="G8" i="2" s="1"/>
  <c r="B7" i="2"/>
  <c r="AM8" i="1" s="1"/>
  <c r="A7" i="2"/>
  <c r="B6" i="2"/>
  <c r="AM7" i="1" s="1"/>
  <c r="A6" i="2"/>
  <c r="G6" i="2" s="1"/>
  <c r="I5" i="2"/>
  <c r="G5" i="2"/>
  <c r="E5" i="2"/>
  <c r="B5" i="2"/>
  <c r="AM6" i="1" s="1"/>
  <c r="A5" i="2"/>
  <c r="C5" i="2" s="1"/>
  <c r="AM10" i="1"/>
  <c r="AM20" i="1"/>
  <c r="AM23" i="1"/>
  <c r="AM24" i="1"/>
  <c r="AM21" i="1"/>
  <c r="P22" i="4"/>
  <c r="O22" i="4"/>
  <c r="P21" i="4"/>
  <c r="O21" i="4"/>
  <c r="P20" i="4"/>
  <c r="P19" i="4"/>
  <c r="P18" i="4"/>
  <c r="P17" i="4"/>
  <c r="P16" i="4"/>
  <c r="O16" i="4"/>
  <c r="G21" i="5"/>
  <c r="H21" i="5" s="1"/>
  <c r="I21" i="5" s="1"/>
  <c r="G22" i="5"/>
  <c r="H22" i="5" s="1"/>
  <c r="I22" i="5" s="1"/>
  <c r="G20" i="5"/>
  <c r="H20" i="5" s="1"/>
  <c r="I20" i="5" s="1"/>
  <c r="G19" i="5"/>
  <c r="H19" i="5" s="1"/>
  <c r="I19" i="5" s="1"/>
  <c r="G18" i="5"/>
  <c r="H18" i="5" s="1"/>
  <c r="I18" i="5" s="1"/>
  <c r="G17" i="5"/>
  <c r="H17" i="5" s="1"/>
  <c r="I17" i="5" s="1"/>
  <c r="G16" i="5"/>
  <c r="H16" i="5" s="1"/>
  <c r="I16" i="5" s="1"/>
  <c r="G15" i="5"/>
  <c r="H15" i="5" s="1"/>
  <c r="G14" i="5"/>
  <c r="H14" i="5" s="1"/>
  <c r="G13" i="5"/>
  <c r="H13" i="5" s="1"/>
  <c r="G12" i="5"/>
  <c r="D12" i="4" s="1"/>
  <c r="G11" i="5"/>
  <c r="I11" i="4" s="1"/>
  <c r="G10" i="5"/>
  <c r="H10" i="5" s="1"/>
  <c r="G9" i="5"/>
  <c r="G8" i="5"/>
  <c r="H8" i="5" s="1"/>
  <c r="G7" i="5"/>
  <c r="G7" i="4" s="1"/>
  <c r="G6" i="5"/>
  <c r="I6" i="4" s="1"/>
  <c r="G5" i="5"/>
  <c r="H5" i="5" s="1"/>
  <c r="N17" i="3"/>
  <c r="BF17" i="1" s="1"/>
  <c r="M17" i="3"/>
  <c r="BF16" i="1" s="1"/>
  <c r="L17" i="3"/>
  <c r="BF15" i="1" s="1"/>
  <c r="K17" i="3"/>
  <c r="BF14" i="1" s="1"/>
  <c r="J17" i="3"/>
  <c r="I17" i="3"/>
  <c r="BF12" i="1" s="1"/>
  <c r="H17" i="3"/>
  <c r="G17" i="3"/>
  <c r="BF10" i="1" s="1"/>
  <c r="F17" i="3"/>
  <c r="BF9" i="1" s="1"/>
  <c r="E17" i="3"/>
  <c r="BF8" i="1" s="1"/>
  <c r="D17" i="3"/>
  <c r="BF7" i="1" s="1"/>
  <c r="C17" i="3"/>
  <c r="BF6" i="1" s="1"/>
  <c r="N16" i="3"/>
  <c r="M16" i="3"/>
  <c r="L16" i="3"/>
  <c r="K16" i="3"/>
  <c r="J16" i="3"/>
  <c r="I16" i="3"/>
  <c r="H16" i="3"/>
  <c r="G16" i="3"/>
  <c r="F16" i="3"/>
  <c r="E16" i="3"/>
  <c r="D16" i="3"/>
  <c r="C16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6" i="3"/>
  <c r="O6" i="3"/>
  <c r="P5" i="3"/>
  <c r="O5" i="3"/>
  <c r="AM25" i="1"/>
  <c r="AM18" i="1"/>
  <c r="AM17" i="1"/>
  <c r="AM16" i="1"/>
  <c r="AL20" i="1"/>
  <c r="AL19" i="1"/>
  <c r="BE17" i="1"/>
  <c r="BE16" i="1"/>
  <c r="BE15" i="1"/>
  <c r="BE14" i="1"/>
  <c r="BC14" i="1"/>
  <c r="B30" i="1" s="1"/>
  <c r="BF13" i="1"/>
  <c r="BE13" i="1"/>
  <c r="BE12" i="1"/>
  <c r="BE11" i="1"/>
  <c r="AX11" i="1"/>
  <c r="BE10" i="1"/>
  <c r="AX10" i="1"/>
  <c r="BE9" i="1"/>
  <c r="AX9" i="1"/>
  <c r="BE8" i="1"/>
  <c r="AX8" i="1"/>
  <c r="BE7" i="1"/>
  <c r="AX7" i="1"/>
  <c r="BE6" i="1"/>
  <c r="AX6" i="1"/>
  <c r="AD3" i="1"/>
  <c r="Z3" i="1"/>
  <c r="AD1" i="1"/>
  <c r="D8" i="4" l="1"/>
  <c r="D7" i="4"/>
  <c r="I5" i="4"/>
  <c r="H10" i="4"/>
  <c r="J5" i="2"/>
  <c r="I8" i="2"/>
  <c r="C12" i="2"/>
  <c r="F7" i="4"/>
  <c r="E6" i="4"/>
  <c r="E5" i="4"/>
  <c r="G13" i="4"/>
  <c r="H9" i="5"/>
  <c r="J9" i="4"/>
  <c r="H9" i="4"/>
  <c r="D5" i="4"/>
  <c r="G5" i="4"/>
  <c r="F14" i="4"/>
  <c r="F12" i="4"/>
  <c r="G14" i="4"/>
  <c r="C5" i="4"/>
  <c r="I9" i="4"/>
  <c r="D9" i="4"/>
  <c r="C14" i="4"/>
  <c r="J8" i="4"/>
  <c r="G11" i="4"/>
  <c r="I12" i="4"/>
  <c r="I13" i="4"/>
  <c r="F8" i="4"/>
  <c r="F11" i="4"/>
  <c r="F9" i="4"/>
  <c r="H8" i="2"/>
  <c r="G12" i="2"/>
  <c r="J6" i="2"/>
  <c r="H12" i="2"/>
  <c r="E13" i="4"/>
  <c r="J5" i="4"/>
  <c r="H8" i="4"/>
  <c r="J8" i="2"/>
  <c r="D12" i="2"/>
  <c r="J14" i="2"/>
  <c r="E9" i="2"/>
  <c r="E12" i="2"/>
  <c r="O12" i="2" s="1"/>
  <c r="H6" i="2"/>
  <c r="F12" i="2"/>
  <c r="I6" i="2"/>
  <c r="I23" i="2" s="1"/>
  <c r="F9" i="2"/>
  <c r="H6" i="5"/>
  <c r="D6" i="4"/>
  <c r="C6" i="4"/>
  <c r="H6" i="4"/>
  <c r="F6" i="4"/>
  <c r="H9" i="2"/>
  <c r="I12" i="2"/>
  <c r="G12" i="4"/>
  <c r="I10" i="4"/>
  <c r="I14" i="4"/>
  <c r="C9" i="4"/>
  <c r="C12" i="4"/>
  <c r="E10" i="4"/>
  <c r="F13" i="4"/>
  <c r="H5" i="4"/>
  <c r="J9" i="2"/>
  <c r="E13" i="2"/>
  <c r="E11" i="4"/>
  <c r="I8" i="4"/>
  <c r="C11" i="4"/>
  <c r="H11" i="4"/>
  <c r="E14" i="4"/>
  <c r="G10" i="4"/>
  <c r="E8" i="4"/>
  <c r="J7" i="4"/>
  <c r="D11" i="4"/>
  <c r="D5" i="2"/>
  <c r="C8" i="2"/>
  <c r="O8" i="2" s="1"/>
  <c r="F13" i="2"/>
  <c r="E12" i="4"/>
  <c r="C10" i="4"/>
  <c r="J10" i="4"/>
  <c r="D13" i="4"/>
  <c r="J14" i="4"/>
  <c r="H14" i="4"/>
  <c r="E9" i="4"/>
  <c r="F10" i="4"/>
  <c r="J6" i="4"/>
  <c r="D8" i="2"/>
  <c r="J10" i="2"/>
  <c r="G13" i="2"/>
  <c r="J12" i="4"/>
  <c r="H12" i="4"/>
  <c r="F5" i="2"/>
  <c r="F23" i="2" s="1"/>
  <c r="E8" i="2"/>
  <c r="H13" i="2"/>
  <c r="D14" i="4"/>
  <c r="G8" i="4"/>
  <c r="H7" i="4"/>
  <c r="C13" i="4"/>
  <c r="O13" i="4" s="1"/>
  <c r="J11" i="4"/>
  <c r="F8" i="2"/>
  <c r="I13" i="2"/>
  <c r="J13" i="4"/>
  <c r="C8" i="4"/>
  <c r="F5" i="4"/>
  <c r="G9" i="4"/>
  <c r="H5" i="2"/>
  <c r="J13" i="2"/>
  <c r="D10" i="4"/>
  <c r="I7" i="4"/>
  <c r="G6" i="4"/>
  <c r="H13" i="4"/>
  <c r="C11" i="2"/>
  <c r="O19" i="2"/>
  <c r="F11" i="2"/>
  <c r="O18" i="2"/>
  <c r="D11" i="2"/>
  <c r="F7" i="2"/>
  <c r="C6" i="2"/>
  <c r="C23" i="2" s="1"/>
  <c r="I7" i="2"/>
  <c r="E10" i="2"/>
  <c r="I11" i="2"/>
  <c r="E14" i="2"/>
  <c r="P20" i="2"/>
  <c r="P15" i="2"/>
  <c r="J7" i="2"/>
  <c r="F14" i="2"/>
  <c r="E11" i="2"/>
  <c r="C10" i="2"/>
  <c r="C14" i="2"/>
  <c r="H7" i="2"/>
  <c r="D10" i="2"/>
  <c r="D6" i="2"/>
  <c r="F10" i="2"/>
  <c r="J11" i="2"/>
  <c r="E6" i="2"/>
  <c r="E23" i="2" s="1"/>
  <c r="C9" i="2"/>
  <c r="G10" i="2"/>
  <c r="C13" i="2"/>
  <c r="G14" i="2"/>
  <c r="D7" i="2"/>
  <c r="G7" i="2"/>
  <c r="G23" i="2" s="1"/>
  <c r="G11" i="2"/>
  <c r="H11" i="2"/>
  <c r="F6" i="2"/>
  <c r="D9" i="2"/>
  <c r="H10" i="2"/>
  <c r="D13" i="2"/>
  <c r="H14" i="2"/>
  <c r="O17" i="2"/>
  <c r="D14" i="2"/>
  <c r="AL7" i="1"/>
  <c r="AL8" i="1"/>
  <c r="AL12" i="1"/>
  <c r="BC18" i="1"/>
  <c r="D52" i="1" s="1"/>
  <c r="O17" i="4"/>
  <c r="O15" i="4"/>
  <c r="O20" i="4"/>
  <c r="P15" i="4"/>
  <c r="O19" i="4"/>
  <c r="O18" i="4"/>
  <c r="AL24" i="1"/>
  <c r="AO24" i="1" s="1"/>
  <c r="AL23" i="1"/>
  <c r="AO23" i="1" s="1"/>
  <c r="AL17" i="1"/>
  <c r="AO17" i="1" s="1"/>
  <c r="AL18" i="1"/>
  <c r="AO18" i="1" s="1"/>
  <c r="AL13" i="1"/>
  <c r="AL10" i="1"/>
  <c r="AL15" i="1"/>
  <c r="AL6" i="1"/>
  <c r="AL11" i="1"/>
  <c r="AL16" i="1"/>
  <c r="AO16" i="1" s="1"/>
  <c r="B4" i="1"/>
  <c r="AL9" i="1"/>
  <c r="AL25" i="1"/>
  <c r="O16" i="3"/>
  <c r="P16" i="3" s="1"/>
  <c r="AL14" i="1"/>
  <c r="H12" i="5"/>
  <c r="AL21" i="1"/>
  <c r="AL22" i="1"/>
  <c r="BC19" i="1"/>
  <c r="T52" i="1" s="1"/>
  <c r="BF11" i="1"/>
  <c r="O30" i="1"/>
  <c r="B8" i="1"/>
  <c r="R13" i="1"/>
  <c r="AO19" i="1"/>
  <c r="B47" i="1"/>
  <c r="AZ11" i="1"/>
  <c r="AO20" i="1"/>
  <c r="BC17" i="1"/>
  <c r="AY11" i="1"/>
  <c r="H7" i="5"/>
  <c r="H11" i="5"/>
  <c r="O7" i="2" l="1"/>
  <c r="D23" i="2"/>
  <c r="E23" i="4"/>
  <c r="J23" i="2"/>
  <c r="H23" i="2"/>
  <c r="F23" i="4"/>
  <c r="R50" i="1"/>
  <c r="J23" i="4"/>
  <c r="C23" i="4"/>
  <c r="P12" i="2"/>
  <c r="I23" i="4"/>
  <c r="P11" i="2"/>
  <c r="P7" i="2"/>
  <c r="O5" i="2"/>
  <c r="G23" i="4"/>
  <c r="AF10" i="1" s="1"/>
  <c r="P8" i="2"/>
  <c r="P5" i="2"/>
  <c r="D23" i="4"/>
  <c r="H23" i="4"/>
  <c r="P6" i="2"/>
  <c r="O6" i="2"/>
  <c r="P9" i="2"/>
  <c r="O9" i="2"/>
  <c r="P14" i="2"/>
  <c r="O14" i="2"/>
  <c r="O10" i="2"/>
  <c r="P10" i="2"/>
  <c r="O13" i="2"/>
  <c r="O23" i="2" s="1"/>
  <c r="P13" i="2"/>
  <c r="O11" i="2"/>
  <c r="P9" i="4"/>
  <c r="P5" i="4"/>
  <c r="O9" i="4"/>
  <c r="O5" i="4"/>
  <c r="P13" i="4"/>
  <c r="O8" i="4"/>
  <c r="I23" i="5"/>
  <c r="BC10" i="1" s="1"/>
  <c r="O12" i="4"/>
  <c r="O7" i="4"/>
  <c r="P11" i="4"/>
  <c r="P12" i="4"/>
  <c r="O14" i="4"/>
  <c r="P14" i="4"/>
  <c r="P8" i="4"/>
  <c r="O6" i="4"/>
  <c r="P6" i="4"/>
  <c r="P7" i="4"/>
  <c r="O11" i="4"/>
  <c r="P10" i="4"/>
  <c r="O10" i="4"/>
  <c r="AN23" i="1"/>
  <c r="AN24" i="1"/>
  <c r="AN18" i="1"/>
  <c r="AN16" i="1"/>
  <c r="AO25" i="1"/>
  <c r="AN17" i="1"/>
  <c r="N24" i="2"/>
  <c r="N25" i="2" s="1"/>
  <c r="AN15" i="1"/>
  <c r="J24" i="2"/>
  <c r="J25" i="2" s="1"/>
  <c r="AN25" i="1"/>
  <c r="AN14" i="1"/>
  <c r="L24" i="2"/>
  <c r="BG15" i="1" s="1"/>
  <c r="BH15" i="1" s="1"/>
  <c r="AN20" i="1"/>
  <c r="AN21" i="1"/>
  <c r="AN19" i="1"/>
  <c r="F24" i="2"/>
  <c r="AF17" i="1"/>
  <c r="D24" i="2"/>
  <c r="AN11" i="1"/>
  <c r="AZ10" i="1" s="1"/>
  <c r="AO22" i="1"/>
  <c r="AO21" i="1"/>
  <c r="AF7" i="1"/>
  <c r="AN22" i="1"/>
  <c r="AF11" i="1"/>
  <c r="AF9" i="1"/>
  <c r="AF13" i="1"/>
  <c r="AN13" i="1"/>
  <c r="AF15" i="1"/>
  <c r="AF14" i="1"/>
  <c r="AO11" i="1"/>
  <c r="K24" i="2"/>
  <c r="G24" i="2"/>
  <c r="C24" i="2"/>
  <c r="AO6" i="1"/>
  <c r="AN9" i="1"/>
  <c r="H24" i="2"/>
  <c r="AO15" i="1"/>
  <c r="AO13" i="1"/>
  <c r="B50" i="1"/>
  <c r="AO8" i="1"/>
  <c r="AN7" i="1"/>
  <c r="H23" i="5"/>
  <c r="P11" i="1" s="1"/>
  <c r="AF16" i="1"/>
  <c r="AF12" i="1"/>
  <c r="AF8" i="1"/>
  <c r="M24" i="2"/>
  <c r="I24" i="2"/>
  <c r="E24" i="2"/>
  <c r="AN12" i="1"/>
  <c r="AO14" i="1"/>
  <c r="AO12" i="1"/>
  <c r="AN10" i="1"/>
  <c r="AO9" i="1"/>
  <c r="AO7" i="1"/>
  <c r="AN6" i="1"/>
  <c r="AO10" i="1"/>
  <c r="AN8" i="1"/>
  <c r="O23" i="4" l="1"/>
  <c r="P23" i="2"/>
  <c r="P23" i="4"/>
  <c r="L25" i="2"/>
  <c r="BG17" i="1"/>
  <c r="BH17" i="1" s="1"/>
  <c r="AI15" i="1"/>
  <c r="AH15" i="1" s="1"/>
  <c r="AI17" i="1"/>
  <c r="AG17" i="1" s="1"/>
  <c r="BG13" i="1"/>
  <c r="BH13" i="1" s="1"/>
  <c r="BG7" i="1"/>
  <c r="BH7" i="1" s="1"/>
  <c r="AI13" i="1"/>
  <c r="AG13" i="1" s="1"/>
  <c r="AZ9" i="1"/>
  <c r="AI7" i="1"/>
  <c r="AG7" i="1" s="1"/>
  <c r="D25" i="2"/>
  <c r="F25" i="2"/>
  <c r="AI9" i="1"/>
  <c r="BG9" i="1"/>
  <c r="BH9" i="1" s="1"/>
  <c r="AZ8" i="1"/>
  <c r="AZ7" i="1"/>
  <c r="AY6" i="1"/>
  <c r="BC12" i="1"/>
  <c r="C25" i="2"/>
  <c r="BG6" i="1"/>
  <c r="BH6" i="1" s="1"/>
  <c r="AI6" i="1"/>
  <c r="BC11" i="1"/>
  <c r="G25" i="2"/>
  <c r="BG10" i="1"/>
  <c r="BH10" i="1" s="1"/>
  <c r="AI10" i="1"/>
  <c r="K25" i="2"/>
  <c r="BG14" i="1"/>
  <c r="BH14" i="1" s="1"/>
  <c r="AI14" i="1"/>
  <c r="AY9" i="1"/>
  <c r="AZ6" i="1"/>
  <c r="BC13" i="1"/>
  <c r="E25" i="2"/>
  <c r="BG8" i="1"/>
  <c r="BH8" i="1" s="1"/>
  <c r="AI8" i="1"/>
  <c r="I25" i="2"/>
  <c r="BG12" i="1"/>
  <c r="BH12" i="1" s="1"/>
  <c r="AI12" i="1"/>
  <c r="M25" i="2"/>
  <c r="BG16" i="1"/>
  <c r="BH16" i="1" s="1"/>
  <c r="AI16" i="1"/>
  <c r="AY8" i="1"/>
  <c r="H25" i="2"/>
  <c r="AI11" i="1"/>
  <c r="BG11" i="1"/>
  <c r="BH11" i="1" s="1"/>
  <c r="AY7" i="1"/>
  <c r="BC20" i="1"/>
  <c r="BC9" i="1"/>
  <c r="BC6" i="1"/>
  <c r="AY10" i="1"/>
  <c r="AF6" i="1"/>
  <c r="BC8" i="1"/>
  <c r="AP25" i="1" s="1"/>
  <c r="AQ25" i="1" s="1"/>
  <c r="BC7" i="1"/>
  <c r="AG15" i="1" l="1"/>
  <c r="AH13" i="1"/>
  <c r="AH17" i="1"/>
  <c r="AP23" i="1"/>
  <c r="AQ23" i="1" s="1"/>
  <c r="AP24" i="1"/>
  <c r="AQ24" i="1" s="1"/>
  <c r="AH7" i="1"/>
  <c r="AP21" i="1"/>
  <c r="AQ21" i="1" s="1"/>
  <c r="AP22" i="1"/>
  <c r="AQ22" i="1" s="1"/>
  <c r="AP19" i="1"/>
  <c r="AQ19" i="1" s="1"/>
  <c r="AP20" i="1"/>
  <c r="AQ20" i="1" s="1"/>
  <c r="AH9" i="1"/>
  <c r="AG9" i="1"/>
  <c r="J9" i="1"/>
  <c r="L11" i="1"/>
  <c r="AG16" i="1"/>
  <c r="AH16" i="1"/>
  <c r="BC15" i="1"/>
  <c r="Z44" i="1" s="1"/>
  <c r="AP15" i="1"/>
  <c r="AQ15" i="1" s="1"/>
  <c r="AP13" i="1"/>
  <c r="AQ13" i="1" s="1"/>
  <c r="AP6" i="1"/>
  <c r="AQ6" i="1" s="1"/>
  <c r="AP7" i="1"/>
  <c r="AQ7" i="1" s="1"/>
  <c r="AP17" i="1"/>
  <c r="AQ17" i="1" s="1"/>
  <c r="AP10" i="1"/>
  <c r="AQ10" i="1" s="1"/>
  <c r="AP11" i="1"/>
  <c r="AQ11" i="1" s="1"/>
  <c r="AP18" i="1"/>
  <c r="AQ18" i="1" s="1"/>
  <c r="AP8" i="1"/>
  <c r="AQ8" i="1" s="1"/>
  <c r="AP9" i="1"/>
  <c r="AQ9" i="1" s="1"/>
  <c r="AP12" i="1"/>
  <c r="AQ12" i="1" s="1"/>
  <c r="AP14" i="1"/>
  <c r="AQ14" i="1" s="1"/>
  <c r="AP16" i="1"/>
  <c r="AQ16" i="1" s="1"/>
  <c r="F50" i="1"/>
  <c r="W44" i="1"/>
  <c r="T11" i="1"/>
  <c r="R9" i="1"/>
  <c r="B9" i="1"/>
  <c r="L52" i="1"/>
  <c r="N50" i="1"/>
  <c r="J50" i="1"/>
  <c r="P52" i="1"/>
  <c r="W50" i="1"/>
  <c r="G4" i="1"/>
  <c r="Y52" i="1"/>
  <c r="L4" i="1"/>
  <c r="AG11" i="1"/>
  <c r="AH11" i="1"/>
  <c r="AG12" i="1"/>
  <c r="AH12" i="1"/>
  <c r="AG14" i="1"/>
  <c r="AH14" i="1"/>
  <c r="Y11" i="1"/>
  <c r="N9" i="1"/>
  <c r="BA10" i="1"/>
  <c r="BA8" i="1"/>
  <c r="BA9" i="1"/>
  <c r="BA7" i="1"/>
  <c r="BA11" i="1"/>
  <c r="BA6" i="1"/>
  <c r="D11" i="1"/>
  <c r="H52" i="1"/>
  <c r="AG8" i="1"/>
  <c r="AH8" i="1"/>
  <c r="AG10" i="1"/>
  <c r="AH10" i="1"/>
  <c r="AG6" i="1"/>
  <c r="AH6" i="1"/>
  <c r="W9" i="1"/>
  <c r="H11" i="1" l="1"/>
  <c r="AS14" i="1"/>
  <c r="AS11" i="1"/>
  <c r="AS9" i="1"/>
  <c r="AS15" i="1"/>
  <c r="AS13" i="1"/>
  <c r="AS10" i="1"/>
  <c r="AS6" i="1"/>
  <c r="AS12" i="1"/>
  <c r="AS8" i="1"/>
  <c r="AS7" i="1"/>
  <c r="T44" i="1"/>
  <c r="F9" i="1"/>
  <c r="AV7" i="1" l="1"/>
  <c r="AT7" i="1"/>
  <c r="AU7" i="1"/>
  <c r="AV12" i="1"/>
  <c r="AT12" i="1"/>
  <c r="AU12" i="1"/>
  <c r="AV10" i="1"/>
  <c r="AT10" i="1"/>
  <c r="AU10" i="1"/>
  <c r="AV15" i="1"/>
  <c r="AT15" i="1"/>
  <c r="AU15" i="1"/>
  <c r="AU11" i="1"/>
  <c r="AV11" i="1"/>
  <c r="AT11" i="1"/>
  <c r="AV8" i="1"/>
  <c r="AT8" i="1"/>
  <c r="AU8" i="1"/>
  <c r="AU6" i="1"/>
  <c r="AV6" i="1"/>
  <c r="AT6" i="1"/>
  <c r="AV13" i="1"/>
  <c r="AT13" i="1"/>
  <c r="AU13" i="1"/>
  <c r="AU9" i="1"/>
  <c r="AT9" i="1"/>
  <c r="AV9" i="1"/>
  <c r="AU14" i="1"/>
  <c r="AT14" i="1"/>
  <c r="AV14" i="1"/>
  <c r="T42" i="1" l="1"/>
  <c r="W36" i="1"/>
  <c r="O36" i="1"/>
  <c r="T36" i="1"/>
  <c r="Z36" i="1"/>
  <c r="W37" i="1"/>
  <c r="O37" i="1"/>
  <c r="T37" i="1"/>
  <c r="Z37" i="1"/>
  <c r="W34" i="1"/>
  <c r="O34" i="1"/>
  <c r="T34" i="1"/>
  <c r="Z34" i="1"/>
  <c r="W41" i="1"/>
  <c r="O41" i="1"/>
  <c r="T41" i="1"/>
  <c r="Z41" i="1"/>
  <c r="W40" i="1"/>
  <c r="O40" i="1"/>
  <c r="T40" i="1"/>
  <c r="Z40" i="1"/>
  <c r="W33" i="1"/>
  <c r="O33" i="1"/>
  <c r="T33" i="1"/>
  <c r="Z33" i="1"/>
  <c r="W35" i="1"/>
  <c r="O35" i="1"/>
  <c r="T35" i="1"/>
  <c r="Z35" i="1"/>
  <c r="W38" i="1"/>
  <c r="O38" i="1"/>
  <c r="T38" i="1"/>
  <c r="Z38" i="1"/>
  <c r="W42" i="1"/>
  <c r="O42" i="1"/>
  <c r="Z42" i="1"/>
  <c r="W39" i="1"/>
  <c r="O39" i="1"/>
  <c r="T39" i="1"/>
  <c r="Z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4" authorId="0" shapeId="0" xr:uid="{00000000-0006-0000-0400-000001000000}">
      <text>
        <r>
          <rPr>
            <sz val="10"/>
            <rFont val="Arial"/>
            <family val="2"/>
          </rPr>
          <t>Valores informados pelo usuário (valor por ocorrência).</t>
        </r>
      </text>
    </comment>
    <comment ref="F4" authorId="0" shapeId="0" xr:uid="{00000000-0006-0000-0400-000002000000}">
      <text>
        <r>
          <rPr>
            <sz val="10"/>
            <rFont val="Arial"/>
            <family val="2"/>
          </rPr>
          <t>Para despesas não mensais: mês em que o pagamento cai (1=Jan ... 12=Dez). Semestral/Trimestral repetem a partir desse mês. Os meses atuais foram estimados — ajuste aos vencimentos reais.</t>
        </r>
      </text>
    </comment>
  </commentList>
</comments>
</file>

<file path=xl/sharedStrings.xml><?xml version="1.0" encoding="utf-8"?>
<sst xmlns="http://schemas.openxmlformats.org/spreadsheetml/2006/main" count="220" uniqueCount="113">
  <si>
    <t>FATURAMENTO (ANO)</t>
  </si>
  <si>
    <t>DESPESAS (ANO)</t>
  </si>
  <si>
    <t>RESULTADO (ANO)</t>
  </si>
  <si>
    <t>PERÍODO</t>
  </si>
  <si>
    <t>Ano</t>
  </si>
  <si>
    <t>ANO</t>
  </si>
  <si>
    <t>Mês</t>
  </si>
  <si>
    <t>Orçado</t>
  </si>
  <si>
    <t>Realizado</t>
  </si>
  <si>
    <t>Mês selecionado</t>
  </si>
  <si>
    <t>Valor</t>
  </si>
  <si>
    <t>Receita</t>
  </si>
  <si>
    <t>Despesa</t>
  </si>
  <si>
    <t>Resultado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</si>
  <si>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</si>
  <si>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</si>
  <si>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</si>
  <si>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</si>
  <si>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</si>
  <si>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</si>
  <si>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</si>
  <si>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</si>
  <si>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</si>
  <si>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</si>
  <si>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</si>
  <si>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</si>
  <si>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Var. vs orçado</t>
  </si>
  <si>
    <t>% do orçamento anual</t>
  </si>
  <si>
    <t>Média mensal realizada</t>
  </si>
  <si>
    <t>Peso da folha</t>
  </si>
  <si>
    <t>Lançamentos</t>
  </si>
  <si>
    <t>Dif.</t>
  </si>
  <si>
    <t>Saldo</t>
  </si>
  <si>
    <t>Orçada</t>
  </si>
  <si>
    <t>Pessoal</t>
  </si>
  <si>
    <t>Itens</t>
  </si>
  <si>
    <t>Orçado x Realizado por mês</t>
  </si>
  <si>
    <t>Var.</t>
  </si>
  <si>
    <t>Total</t>
  </si>
  <si>
    <t>Faturamento · período</t>
  </si>
  <si>
    <t>Despesas · período</t>
  </si>
  <si>
    <t>Resultado (Rec − Desp)</t>
  </si>
  <si>
    <t>Margem líquida</t>
  </si>
  <si>
    <t>Faturam. médio/mês</t>
  </si>
  <si>
    <t>Despesa média/mês</t>
  </si>
  <si>
    <t>Acum. ano</t>
  </si>
  <si>
    <t>Margem</t>
  </si>
  <si>
    <t>Meses</t>
  </si>
  <si>
    <t>Total ano</t>
  </si>
  <si>
    <t>Receita x Despesa por mês</t>
  </si>
  <si>
    <t>LANÇAMENTOS MENSAIS — VALORES REALIZADOS (PAGOS)</t>
  </si>
  <si>
    <t>Preencha nas células amarelas o valor efetivamente pago em cada mês (ex.: Energia em Jan → 152,40). Deixe em branco o que ainda não foi lançado; se não houve pagamento no mês, digite 0.</t>
  </si>
  <si>
    <t>nº do mês →</t>
  </si>
  <si>
    <t>Categoria</t>
  </si>
  <si>
    <t>Média mensal</t>
  </si>
  <si>
    <t>TOTAL DO MÊS</t>
  </si>
  <si>
    <t>Itens lançados</t>
  </si>
  <si>
    <t>Status do mês</t>
  </si>
  <si>
    <t>FATURAMENTO MENSAL — RECEITAS</t>
  </si>
  <si>
    <t>Preencha o faturamento (receita) de cada mês nas células em amarelo. Deixe em branco os meses ainda não faturados (ex.: Out, Nov, Dez).</t>
  </si>
  <si>
    <t>Tipo</t>
  </si>
  <si>
    <t>Venda de mercadoria (NF-e)</t>
  </si>
  <si>
    <t>Mercadorias</t>
  </si>
  <si>
    <t>Meses faturados</t>
  </si>
  <si>
    <t>ORÇADO (PREVISTO) — GERADO AUTOMATICAMENTE</t>
  </si>
  <si>
    <t>Não editar: calculado a partir da aba Cadastro (valor, periodicidade e mês de pagamento).</t>
  </si>
  <si>
    <t>CADASTRO DE DESPESAS FIXAS</t>
  </si>
  <si>
    <t>Células amarelas são editáveis. Para incluir nova despesa, preencha uma linha vazia — ela aparece automaticamente nas outras abas.</t>
  </si>
  <si>
    <t>Ano de referência:</t>
  </si>
  <si>
    <t>Nº</t>
  </si>
  <si>
    <t>Valor (R$)</t>
  </si>
  <si>
    <t>Periodicidade</t>
  </si>
  <si>
    <t>Mês de pagamento (1-12)</t>
  </si>
  <si>
    <t>Intervalo (meses)</t>
  </si>
  <si>
    <t>Equivalente mensal (R$)</t>
  </si>
  <si>
    <t>Custo anual (R$)</t>
  </si>
  <si>
    <t>Observação</t>
  </si>
  <si>
    <t>Categorias</t>
  </si>
  <si>
    <t>Água</t>
  </si>
  <si>
    <t>Utilidades</t>
  </si>
  <si>
    <t>Mensal</t>
  </si>
  <si>
    <t>Energia</t>
  </si>
  <si>
    <t>Seguro galpão</t>
  </si>
  <si>
    <t>Seguros e Segurança</t>
  </si>
  <si>
    <t>Anual</t>
  </si>
  <si>
    <t>Mês de pagamento estimado — ajuste</t>
  </si>
  <si>
    <t>Segurança Emive</t>
  </si>
  <si>
    <t>Manutenção</t>
  </si>
  <si>
    <t>Dedetização</t>
  </si>
  <si>
    <t>Semestral</t>
  </si>
  <si>
    <t>Paga em Jan e Jul (estimado) — ajuste</t>
  </si>
  <si>
    <t>Impostos e Taxas</t>
  </si>
  <si>
    <t>IPTU</t>
  </si>
  <si>
    <t>Outros</t>
  </si>
  <si>
    <t>Controle de Ponto</t>
  </si>
  <si>
    <t>Extintores</t>
  </si>
  <si>
    <t>Mês de recarga estimado — ajuste</t>
  </si>
  <si>
    <t>Internet</t>
  </si>
  <si>
    <t>Funcionários</t>
  </si>
  <si>
    <t>TOTAL</t>
  </si>
  <si>
    <t>Despesas Fixas  |  Galpão OLARIA</t>
  </si>
  <si>
    <t>Combustivel</t>
  </si>
  <si>
    <t>Tubete</t>
  </si>
  <si>
    <t>Veiculo</t>
  </si>
  <si>
    <t>Abastecimento</t>
  </si>
  <si>
    <t>Insumo</t>
  </si>
  <si>
    <t>Combustivel RRG7C78</t>
  </si>
  <si>
    <t>Manutenção Predial</t>
  </si>
  <si>
    <t>Seguro do Caminhão</t>
  </si>
  <si>
    <t>Parcela Caminhão</t>
  </si>
  <si>
    <t>Manutenção Veicular (peças, servico, revisao, licenciamento)</t>
  </si>
  <si>
    <t xml:space="preserve">Outras Despesas </t>
  </si>
  <si>
    <t>Despesas Pessoal (EPI, Farda e Ferramentas, Diaristas)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</si>
</sst>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&quot;R$ &quot;#,##0"/>
    <numFmt numFmtId="165" formatCode="&quot;R$ &quot;#,##0.00;[Red]&quot;-R$ &quot;#,##0.00;\-"/>
    <numFmt numFmtId="166" formatCode="&quot;R$ &quot;#,##0;&quot;-R$ &quot;#,##0;\–"/>
    <numFmt numFmtId="167" formatCode="&quot;▲ &quot;0.0%;&quot;▼ &quot;0.0%;\–"/>
    <numFmt numFmtId="168" formatCode="0.0%"/>
    <numFmt numFmtId="169" formatCode="&quot;▲ R$ &quot;#,##0;&quot;▼ R$ &quot;#,##0;\–"/>
  </numFmts>
  <fonts count="3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rgb="FFF2F2F2"/>
      <name val="Arial"/>
      <family val="2"/>
    </font>
    <font>
      <b/>
      <sz val="9"/>
      <color rgb="FFB4B9D6"/>
      <name val="Arial"/>
      <family val="2"/>
    </font>
    <font>
      <b/>
      <sz val="9"/>
      <color rgb="FFB4B9D6"/>
      <name val="Arial"/>
      <family val="2"/>
      <charset val="1"/>
    </font>
    <font>
      <b/>
      <sz val="12"/>
      <color rgb="FFFFFFFF"/>
      <name val="Arial"/>
      <family val="2"/>
    </font>
    <font>
      <b/>
      <sz val="16"/>
      <color rgb="FFF2F2F2"/>
      <name val="Arial"/>
      <family val="2"/>
    </font>
    <font>
      <b/>
      <sz val="16"/>
      <color rgb="FF4CD964"/>
      <name val="Arial"/>
      <family val="2"/>
    </font>
    <font>
      <b/>
      <sz val="9"/>
      <color rgb="FFA6A6A6"/>
      <name val="Arial"/>
      <family val="2"/>
    </font>
    <font>
      <sz val="9"/>
      <color rgb="FFA6A6A6"/>
      <name val="Arial"/>
      <family val="2"/>
    </font>
    <font>
      <b/>
      <sz val="18"/>
      <color rgb="FFF2F2F2"/>
      <name val="Arial"/>
      <family val="2"/>
    </font>
    <font>
      <sz val="8"/>
      <color rgb="FFA6A6A6"/>
      <name val="Arial"/>
      <family val="2"/>
    </font>
    <font>
      <b/>
      <sz val="10"/>
      <color rgb="FFF2F2F2"/>
      <name val="Arial"/>
      <family val="2"/>
    </font>
    <font>
      <sz val="9"/>
      <color rgb="FFF2F2F2"/>
      <name val="Arial"/>
      <family val="2"/>
    </font>
    <font>
      <b/>
      <sz val="9"/>
      <color rgb="FFF2F2F2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595959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9"/>
      <color rgb="FF000000"/>
      <name val="Arial"/>
      <family val="2"/>
    </font>
    <font>
      <b/>
      <sz val="14"/>
      <color rgb="FF1F4E78"/>
      <name val="Calibri"/>
      <family val="2"/>
    </font>
    <font>
      <i/>
      <sz val="9"/>
      <color rgb="FF595959"/>
      <name val="Calibri"/>
      <family val="2"/>
    </font>
    <font>
      <sz val="8"/>
      <color rgb="FFA6A6A6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0"/>
      <color rgb="FF0000FF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141414"/>
      </patternFill>
    </fill>
    <fill>
      <patternFill patternType="solid">
        <fgColor rgb="FF141414"/>
        <bgColor rgb="FF262626"/>
      </patternFill>
    </fill>
    <fill>
      <patternFill patternType="solid">
        <fgColor rgb="FF262626"/>
        <bgColor rgb="FF333333"/>
      </patternFill>
    </fill>
    <fill>
      <patternFill patternType="solid">
        <fgColor rgb="FF1F3864"/>
        <bgColor rgb="FF1F4E78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FF9E3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FF9E3"/>
      </patternFill>
    </fill>
    <fill>
      <patternFill patternType="solid">
        <fgColor rgb="FF1F4E78"/>
        <bgColor rgb="FF1F3864"/>
      </patternFill>
    </fill>
    <fill>
      <patternFill patternType="solid">
        <fgColor rgb="FFFFF9E3"/>
        <bgColor rgb="FFFFF2CC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ck">
        <color rgb="FF141414"/>
      </left>
      <right style="thick">
        <color rgb="FF141414"/>
      </right>
      <top/>
      <bottom/>
      <diagonal/>
    </border>
    <border>
      <left style="thick">
        <color rgb="FF4F81BD"/>
      </left>
      <right style="thick">
        <color rgb="FF141414"/>
      </right>
      <top style="thick">
        <color rgb="FF141414"/>
      </top>
      <bottom/>
      <diagonal/>
    </border>
    <border>
      <left style="thick">
        <color rgb="FF9FCBFF"/>
      </left>
      <right style="thick">
        <color rgb="FF141414"/>
      </right>
      <top style="thick">
        <color rgb="FF141414"/>
      </top>
      <bottom/>
      <diagonal/>
    </border>
    <border>
      <left style="thick">
        <color rgb="FFC0504D"/>
      </left>
      <right style="thick">
        <color rgb="FF141414"/>
      </right>
      <top style="thick">
        <color rgb="FF141414"/>
      </top>
      <bottom/>
      <diagonal/>
    </border>
    <border>
      <left style="thick">
        <color rgb="FF4F81BD"/>
      </left>
      <right style="thick">
        <color rgb="FF141414"/>
      </right>
      <top/>
      <bottom/>
      <diagonal/>
    </border>
    <border>
      <left style="thick">
        <color rgb="FF9FCBFF"/>
      </left>
      <right style="thick">
        <color rgb="FF141414"/>
      </right>
      <top/>
      <bottom/>
      <diagonal/>
    </border>
    <border>
      <left style="thick">
        <color rgb="FFC0504D"/>
      </left>
      <right style="thick">
        <color rgb="FF141414"/>
      </right>
      <top/>
      <bottom/>
      <diagonal/>
    </border>
    <border>
      <left style="thick">
        <color rgb="FF4F81BD"/>
      </left>
      <right/>
      <top/>
      <bottom style="thick">
        <color rgb="FF141414"/>
      </bottom>
      <diagonal/>
    </border>
    <border>
      <left/>
      <right style="thick">
        <color rgb="FF141414"/>
      </right>
      <top/>
      <bottom style="thick">
        <color rgb="FF141414"/>
      </bottom>
      <diagonal/>
    </border>
    <border>
      <left style="thick">
        <color rgb="FF9FCBFF"/>
      </left>
      <right/>
      <top/>
      <bottom style="thick">
        <color rgb="FF141414"/>
      </bottom>
      <diagonal/>
    </border>
    <border>
      <left style="thick">
        <color rgb="FFC0504D"/>
      </left>
      <right/>
      <top/>
      <bottom style="thick">
        <color rgb="FF141414"/>
      </bottom>
      <diagonal/>
    </border>
    <border>
      <left style="thick">
        <color rgb="FF141414"/>
      </left>
      <right style="thick">
        <color rgb="FF141414"/>
      </right>
      <top style="thick">
        <color rgb="FF141414"/>
      </top>
      <bottom/>
      <diagonal/>
    </border>
    <border>
      <left style="thick">
        <color rgb="FF141414"/>
      </left>
      <right/>
      <top/>
      <bottom/>
      <diagonal/>
    </border>
    <border>
      <left/>
      <right style="thick">
        <color rgb="FF141414"/>
      </right>
      <top/>
      <bottom/>
      <diagonal/>
    </border>
    <border>
      <left style="thick">
        <color rgb="FF141414"/>
      </left>
      <right/>
      <top/>
      <bottom style="thick">
        <color rgb="FF141414"/>
      </bottom>
      <diagonal/>
    </border>
    <border>
      <left/>
      <right/>
      <top/>
      <bottom style="thick">
        <color rgb="FF141414"/>
      </bottom>
      <diagonal/>
    </border>
    <border>
      <left/>
      <right/>
      <top/>
      <bottom style="thin">
        <color rgb="FF4D4D4D"/>
      </bottom>
      <diagonal/>
    </border>
    <border>
      <left/>
      <right/>
      <top style="thin">
        <color rgb="FF4D4D4D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4" fontId="32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2" fillId="2" borderId="0" xfId="0" applyFont="1" applyFill="1" applyBorder="1" applyAlignment="1">
      <alignment horizontal="center" vertical="center"/>
    </xf>
    <xf numFmtId="0" fontId="0" fillId="3" borderId="0" xfId="0" applyFill="1" applyAlignment="1"/>
    <xf numFmtId="165" fontId="0" fillId="0" borderId="0" xfId="0" applyNumberFormat="1" applyAlignment="1"/>
    <xf numFmtId="166" fontId="0" fillId="0" borderId="0" xfId="0" applyNumberFormat="1" applyAlignment="1"/>
    <xf numFmtId="0" fontId="0" fillId="4" borderId="13" xfId="0" applyFill="1" applyBorder="1" applyAlignment="1"/>
    <xf numFmtId="0" fontId="0" fillId="4" borderId="0" xfId="0" applyFill="1" applyAlignment="1"/>
    <xf numFmtId="0" fontId="0" fillId="4" borderId="14" xfId="0" applyFill="1" applyBorder="1" applyAlignment="1"/>
    <xf numFmtId="0" fontId="0" fillId="4" borderId="15" xfId="0" applyFill="1" applyBorder="1" applyAlignment="1"/>
    <xf numFmtId="0" fontId="0" fillId="4" borderId="16" xfId="0" applyFill="1" applyBorder="1" applyAlignment="1"/>
    <xf numFmtId="0" fontId="0" fillId="4" borderId="9" xfId="0" applyFill="1" applyBorder="1" applyAlignment="1"/>
    <xf numFmtId="0" fontId="15" fillId="0" borderId="0" xfId="0" applyFont="1" applyAlignment="1"/>
    <xf numFmtId="0" fontId="16" fillId="0" borderId="0" xfId="0" applyFont="1" applyAlignment="1"/>
    <xf numFmtId="0" fontId="11" fillId="0" borderId="0" xfId="0" applyFont="1" applyAlignment="1"/>
    <xf numFmtId="0" fontId="11" fillId="0" borderId="0" xfId="0" applyFont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 wrapText="1"/>
    </xf>
    <xf numFmtId="0" fontId="18" fillId="0" borderId="19" xfId="0" applyFont="1" applyBorder="1" applyAlignment="1"/>
    <xf numFmtId="0" fontId="19" fillId="0" borderId="19" xfId="0" applyFont="1" applyBorder="1" applyAlignment="1"/>
    <xf numFmtId="165" fontId="20" fillId="0" borderId="19" xfId="0" applyNumberFormat="1" applyFont="1" applyBorder="1" applyAlignment="1"/>
    <xf numFmtId="165" fontId="18" fillId="6" borderId="19" xfId="0" applyNumberFormat="1" applyFont="1" applyFill="1" applyBorder="1" applyAlignment="1"/>
    <xf numFmtId="165" fontId="20" fillId="6" borderId="19" xfId="0" applyNumberFormat="1" applyFont="1" applyFill="1" applyBorder="1" applyAlignment="1"/>
    <xf numFmtId="165" fontId="21" fillId="7" borderId="19" xfId="0" applyNumberFormat="1" applyFont="1" applyFill="1" applyBorder="1" applyAlignment="1"/>
    <xf numFmtId="165" fontId="17" fillId="8" borderId="19" xfId="0" applyNumberFormat="1" applyFont="1" applyFill="1" applyBorder="1" applyAlignment="1"/>
    <xf numFmtId="0" fontId="18" fillId="9" borderId="19" xfId="0" applyFont="1" applyFill="1" applyBorder="1" applyAlignment="1"/>
    <xf numFmtId="0" fontId="20" fillId="9" borderId="19" xfId="0" applyFont="1" applyFill="1" applyBorder="1" applyAlignment="1"/>
    <xf numFmtId="0" fontId="20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3" fillId="0" borderId="0" xfId="0" applyFont="1" applyAlignment="1"/>
    <xf numFmtId="0" fontId="24" fillId="0" borderId="0" xfId="0" applyFont="1" applyAlignment="1"/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26" fillId="10" borderId="20" xfId="0" applyFont="1" applyFill="1" applyBorder="1" applyAlignment="1">
      <alignment horizontal="center" vertical="center"/>
    </xf>
    <xf numFmtId="0" fontId="27" fillId="0" borderId="20" xfId="0" applyFont="1" applyBorder="1" applyAlignment="1"/>
    <xf numFmtId="0" fontId="27" fillId="0" borderId="20" xfId="0" applyFont="1" applyBorder="1" applyAlignment="1">
      <alignment horizontal="left" vertical="center"/>
    </xf>
    <xf numFmtId="166" fontId="27" fillId="11" borderId="20" xfId="0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right" vertical="center"/>
    </xf>
    <xf numFmtId="0" fontId="26" fillId="10" borderId="20" xfId="0" applyFont="1" applyFill="1" applyBorder="1" applyAlignment="1"/>
    <xf numFmtId="0" fontId="27" fillId="10" borderId="20" xfId="0" applyFont="1" applyFill="1" applyBorder="1" applyAlignment="1"/>
    <xf numFmtId="166" fontId="26" fillId="10" borderId="20" xfId="0" applyNumberFormat="1" applyFont="1" applyFill="1" applyBorder="1" applyAlignment="1">
      <alignment horizontal="right" vertical="center"/>
    </xf>
    <xf numFmtId="0" fontId="28" fillId="9" borderId="20" xfId="0" applyFont="1" applyFill="1" applyBorder="1" applyAlignment="1"/>
    <xf numFmtId="0" fontId="27" fillId="9" borderId="20" xfId="0" applyFont="1" applyFill="1" applyBorder="1" applyAlignment="1"/>
    <xf numFmtId="0" fontId="29" fillId="9" borderId="20" xfId="0" applyFont="1" applyFill="1" applyBorder="1" applyAlignment="1">
      <alignment horizontal="center" vertical="center"/>
    </xf>
    <xf numFmtId="0" fontId="18" fillId="0" borderId="0" xfId="0" applyFont="1" applyAlignment="1">
      <alignment horizontal="right" vertical="center" wrapText="1"/>
    </xf>
    <xf numFmtId="0" fontId="30" fillId="7" borderId="19" xfId="0" applyFont="1" applyFill="1" applyBorder="1" applyAlignment="1">
      <alignment horizontal="center" vertical="center" wrapText="1"/>
    </xf>
    <xf numFmtId="0" fontId="17" fillId="5" borderId="19" xfId="0" applyFont="1" applyFill="1" applyBorder="1" applyAlignment="1"/>
    <xf numFmtId="0" fontId="20" fillId="9" borderId="19" xfId="0" applyFont="1" applyFill="1" applyBorder="1" applyAlignment="1">
      <alignment horizontal="center" vertical="center" wrapText="1"/>
    </xf>
    <xf numFmtId="0" fontId="21" fillId="7" borderId="19" xfId="0" applyFont="1" applyFill="1" applyBorder="1" applyAlignment="1"/>
    <xf numFmtId="0" fontId="21" fillId="7" borderId="19" xfId="0" applyFont="1" applyFill="1" applyBorder="1" applyAlignment="1">
      <alignment horizontal="center"/>
    </xf>
    <xf numFmtId="0" fontId="31" fillId="7" borderId="19" xfId="0" applyFont="1" applyFill="1" applyBorder="1" applyAlignment="1"/>
    <xf numFmtId="0" fontId="18" fillId="6" borderId="19" xfId="0" applyFont="1" applyFill="1" applyBorder="1" applyAlignment="1"/>
    <xf numFmtId="0" fontId="0" fillId="12" borderId="0" xfId="0" applyFill="1" applyAlignment="1"/>
    <xf numFmtId="44" fontId="0" fillId="0" borderId="0" xfId="1" applyFont="1" applyAlignment="1"/>
    <xf numFmtId="0" fontId="16" fillId="0" borderId="0" xfId="0" applyFont="1" applyAlignment="1">
      <alignment horizontal="center"/>
    </xf>
    <xf numFmtId="0" fontId="18" fillId="0" borderId="19" xfId="0" applyFont="1" applyFill="1" applyBorder="1" applyAlignment="1"/>
    <xf numFmtId="0" fontId="12" fillId="4" borderId="0" xfId="0" applyFont="1" applyFill="1" applyBorder="1" applyAlignment="1">
      <alignment horizontal="left" vertical="center" indent="1"/>
    </xf>
    <xf numFmtId="166" fontId="10" fillId="4" borderId="0" xfId="0" applyNumberFormat="1" applyFont="1" applyFill="1" applyBorder="1" applyAlignment="1">
      <alignment horizontal="left" vertical="center" indent="1"/>
    </xf>
    <xf numFmtId="168" fontId="10" fillId="4" borderId="0" xfId="0" applyNumberFormat="1" applyFont="1" applyFill="1" applyBorder="1" applyAlignment="1">
      <alignment horizontal="left" vertical="center" indent="1"/>
    </xf>
    <xf numFmtId="0" fontId="11" fillId="4" borderId="0" xfId="0" applyFont="1" applyFill="1" applyBorder="1" applyAlignment="1">
      <alignment horizontal="left" vertical="center" indent="1"/>
    </xf>
    <xf numFmtId="166" fontId="8" fillId="4" borderId="0" xfId="0" applyNumberFormat="1" applyFont="1" applyFill="1" applyBorder="1" applyAlignment="1">
      <alignment horizontal="right" vertical="center"/>
    </xf>
    <xf numFmtId="168" fontId="8" fillId="4" borderId="0" xfId="0" applyNumberFormat="1" applyFont="1" applyFill="1" applyBorder="1" applyAlignment="1">
      <alignment horizontal="right" vertical="center"/>
    </xf>
    <xf numFmtId="1" fontId="8" fillId="4" borderId="0" xfId="0" applyNumberFormat="1" applyFont="1" applyFill="1" applyBorder="1" applyAlignment="1">
      <alignment horizontal="right" vertical="center"/>
    </xf>
    <xf numFmtId="0" fontId="14" fillId="4" borderId="18" xfId="0" applyFont="1" applyFill="1" applyBorder="1" applyAlignment="1">
      <alignment horizontal="left" vertical="center" indent="1"/>
    </xf>
    <xf numFmtId="166" fontId="14" fillId="4" borderId="18" xfId="0" applyNumberFormat="1" applyFont="1" applyFill="1" applyBorder="1" applyAlignment="1">
      <alignment horizontal="right" vertical="center"/>
    </xf>
    <xf numFmtId="167" fontId="14" fillId="4" borderId="18" xfId="0" applyNumberFormat="1" applyFont="1" applyFill="1" applyBorder="1" applyAlignment="1">
      <alignment horizontal="right" vertical="center"/>
    </xf>
    <xf numFmtId="0" fontId="9" fillId="4" borderId="0" xfId="0" applyFont="1" applyFill="1" applyBorder="1" applyAlignment="1">
      <alignment horizontal="left" vertical="center" indent="1"/>
    </xf>
    <xf numFmtId="0" fontId="13" fillId="4" borderId="13" xfId="0" applyFont="1" applyFill="1" applyBorder="1" applyAlignment="1">
      <alignment horizontal="left" vertical="center" indent="1"/>
    </xf>
    <xf numFmtId="166" fontId="13" fillId="4" borderId="0" xfId="0" applyNumberFormat="1" applyFont="1" applyFill="1" applyBorder="1" applyAlignment="1">
      <alignment horizontal="right" vertical="center"/>
    </xf>
    <xf numFmtId="166" fontId="14" fillId="4" borderId="0" xfId="0" applyNumberFormat="1" applyFont="1" applyFill="1" applyBorder="1" applyAlignment="1">
      <alignment horizontal="right" vertical="center"/>
    </xf>
    <xf numFmtId="167" fontId="13" fillId="4" borderId="14" xfId="0" applyNumberFormat="1" applyFont="1" applyFill="1" applyBorder="1" applyAlignment="1">
      <alignment horizontal="right" vertical="center"/>
    </xf>
    <xf numFmtId="0" fontId="12" fillId="4" borderId="12" xfId="0" applyFont="1" applyFill="1" applyBorder="1" applyAlignment="1">
      <alignment horizontal="left" vertical="center" indent="1"/>
    </xf>
    <xf numFmtId="0" fontId="8" fillId="4" borderId="17" xfId="0" applyFont="1" applyFill="1" applyBorder="1" applyAlignment="1">
      <alignment horizontal="left" vertical="center" indent="1"/>
    </xf>
    <xf numFmtId="0" fontId="8" fillId="4" borderId="17" xfId="0" applyFont="1" applyFill="1" applyBorder="1" applyAlignment="1">
      <alignment horizontal="right" vertical="center"/>
    </xf>
    <xf numFmtId="166" fontId="10" fillId="4" borderId="5" xfId="0" applyNumberFormat="1" applyFont="1" applyFill="1" applyBorder="1" applyAlignment="1">
      <alignment horizontal="left" vertical="center" indent="1"/>
    </xf>
    <xf numFmtId="167" fontId="10" fillId="4" borderId="5" xfId="0" applyNumberFormat="1" applyFont="1" applyFill="1" applyBorder="1" applyAlignment="1">
      <alignment horizontal="left" vertical="center" indent="1"/>
    </xf>
    <xf numFmtId="168" fontId="10" fillId="4" borderId="6" xfId="0" applyNumberFormat="1" applyFont="1" applyFill="1" applyBorder="1" applyAlignment="1">
      <alignment horizontal="left" vertical="center" indent="1"/>
    </xf>
    <xf numFmtId="166" fontId="10" fillId="4" borderId="6" xfId="0" applyNumberFormat="1" applyFont="1" applyFill="1" applyBorder="1" applyAlignment="1">
      <alignment horizontal="left" vertical="center" indent="1"/>
    </xf>
    <xf numFmtId="168" fontId="10" fillId="4" borderId="7" xfId="0" applyNumberFormat="1" applyFont="1" applyFill="1" applyBorder="1" applyAlignment="1">
      <alignment horizontal="left" vertical="center" indent="1"/>
    </xf>
    <xf numFmtId="0" fontId="10" fillId="4" borderId="7" xfId="0" applyFont="1" applyFill="1" applyBorder="1" applyAlignment="1">
      <alignment horizontal="left" vertical="center" indent="1"/>
    </xf>
    <xf numFmtId="0" fontId="11" fillId="4" borderId="8" xfId="0" applyFont="1" applyFill="1" applyBorder="1" applyAlignment="1">
      <alignment horizontal="left" vertical="center" indent="1"/>
    </xf>
    <xf numFmtId="166" fontId="8" fillId="4" borderId="9" xfId="0" applyNumberFormat="1" applyFont="1" applyFill="1" applyBorder="1" applyAlignment="1">
      <alignment horizontal="right" vertical="center"/>
    </xf>
    <xf numFmtId="169" fontId="8" fillId="4" borderId="9" xfId="0" applyNumberFormat="1" applyFont="1" applyFill="1" applyBorder="1" applyAlignment="1">
      <alignment horizontal="right" vertical="center"/>
    </xf>
    <xf numFmtId="0" fontId="11" fillId="4" borderId="10" xfId="0" applyFont="1" applyFill="1" applyBorder="1" applyAlignment="1">
      <alignment horizontal="left" vertical="center" indent="1"/>
    </xf>
    <xf numFmtId="0" fontId="11" fillId="4" borderId="11" xfId="0" applyFont="1" applyFill="1" applyBorder="1" applyAlignment="1">
      <alignment horizontal="left" vertical="center" indent="1"/>
    </xf>
    <xf numFmtId="0" fontId="8" fillId="4" borderId="9" xfId="0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indent="1"/>
    </xf>
    <xf numFmtId="0" fontId="9" fillId="4" borderId="3" xfId="0" applyFont="1" applyFill="1" applyBorder="1" applyAlignment="1">
      <alignment horizontal="left" vertical="center" indent="1"/>
    </xf>
    <xf numFmtId="0" fontId="9" fillId="4" borderId="4" xfId="0" applyFont="1" applyFill="1" applyBorder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center" vertical="center"/>
    </xf>
    <xf numFmtId="1" fontId="5" fillId="2" borderId="0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8"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sz val="18"/>
        <color rgb="FFD64550"/>
        <name val="Arial"/>
      </font>
    </dxf>
    <dxf>
      <font>
        <b/>
        <sz val="18"/>
        <color rgb="FF1AAB40"/>
        <name val="Arial"/>
      </font>
    </dxf>
    <dxf>
      <font>
        <b/>
        <sz val="18"/>
        <color rgb="FFD64550"/>
        <name val="Arial"/>
      </font>
    </dxf>
    <dxf>
      <font>
        <b/>
        <sz val="18"/>
        <color rgb="FF1AAB40"/>
        <name val="Arial"/>
      </font>
    </dxf>
    <dxf>
      <font>
        <b/>
        <color rgb="FF4CD964"/>
      </font>
    </dxf>
    <dxf>
      <font>
        <b/>
        <color rgb="FFFF6B6B"/>
      </font>
    </dxf>
    <dxf>
      <font>
        <b/>
        <color rgb="FF4CD964"/>
      </font>
    </dxf>
    <dxf>
      <font>
        <b/>
        <color rgb="FFFF6B6B"/>
      </font>
    </dxf>
    <dxf>
      <font>
        <b/>
        <color rgb="FF4CD964"/>
      </font>
    </dxf>
    <dxf>
      <font>
        <b/>
        <color rgb="FFFF6B6B"/>
      </font>
    </dxf>
    <dxf>
      <font>
        <b/>
        <color rgb="FFC0504D"/>
      </font>
    </dxf>
    <dxf>
      <font>
        <b/>
        <color rgb="FF4CD964"/>
      </font>
    </dxf>
    <dxf>
      <font>
        <b/>
        <color rgb="FF4CD964"/>
      </font>
    </dxf>
    <dxf>
      <font>
        <b/>
        <color rgb="FFFF6B6B"/>
      </font>
    </dxf>
    <dxf>
      <font>
        <b/>
        <color rgb="FFFFFFFF"/>
      </font>
      <fill>
        <patternFill>
          <bgColor rgb="FF118D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4CD964"/>
      <rgbColor rgb="FF0000FF"/>
      <rgbColor rgb="FFFFF2CC"/>
      <rgbColor rgb="FFFF00FF"/>
      <rgbColor rgb="FF00FFFF"/>
      <rgbColor rgb="FF9C0006"/>
      <rgbColor rgb="FF006100"/>
      <rgbColor rgb="FF000080"/>
      <rgbColor rgb="FF7F7F7F"/>
      <rgbColor rgb="FF4D4D4D"/>
      <rgbColor rgb="FF1AAB40"/>
      <rgbColor rgb="FFBFBFBF"/>
      <rgbColor rgb="FF808080"/>
      <rgbColor rgb="FFB3B3B3"/>
      <rgbColor rgb="FFC0504D"/>
      <rgbColor rgb="FFFFF9E3"/>
      <rgbColor rgb="FFDDEBF7"/>
      <rgbColor rgb="FF3F3F3F"/>
      <rgbColor rgb="FFFF6B6B"/>
      <rgbColor rgb="FF118DFF"/>
      <rgbColor rgb="FFD9D9D9"/>
      <rgbColor rgb="FF000080"/>
      <rgbColor rgb="FFFF00FF"/>
      <rgbColor rgb="FFFFFF00"/>
      <rgbColor rgb="FF00FFFF"/>
      <rgbColor rgb="FF505050"/>
      <rgbColor rgb="FF595959"/>
      <rgbColor rgb="FF4F81BD"/>
      <rgbColor rgb="FF0000FF"/>
      <rgbColor rgb="FF70AD47"/>
      <rgbColor rgb="FFF2F2F2"/>
      <rgbColor rgb="FFC6EFCE"/>
      <rgbColor rgb="FFFFEB9C"/>
      <rgbColor rgb="FF9FCBFF"/>
      <rgbColor rgb="FFFF99CC"/>
      <rgbColor rgb="FFB4B9D6"/>
      <rgbColor rgb="FFFFC7CE"/>
      <rgbColor rgb="FF2E75B6"/>
      <rgbColor rgb="FF4BACC6"/>
      <rgbColor rgb="FF9BBB59"/>
      <rgbColor rgb="FFFFC000"/>
      <rgbColor rgb="FFE6A817"/>
      <rgbColor rgb="FFFF6600"/>
      <rgbColor rgb="FF8064A2"/>
      <rgbColor rgb="FFA6A6A6"/>
      <rgbColor rgb="FF1F3864"/>
      <rgbColor rgb="FF2E9E75"/>
      <rgbColor rgb="FF141414"/>
      <rgbColor rgb="FF262626"/>
      <rgbColor rgb="FF9C5700"/>
      <rgbColor rgb="FFD64550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DASHBOARD!$AG$5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DASHBOARD!$AE$6:$AE$17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DASHBOARD!$AG$6:$AG$17</c:f>
              <c:numCache>
                <c:formatCode>"R$ "#,##0.00;[Red]"-R$ "#,##0.00;\-</c:formatCode>
                <c:ptCount val="12"/>
                <c:pt idx="0">
                  <c:v>42546.761666666665</c:v>
                </c:pt>
                <c:pt idx="1">
                  <c:v>37412.161666666667</c:v>
                </c:pt>
                <c:pt idx="2">
                  <c:v>35621.221666666665</c:v>
                </c:pt>
                <c:pt idx="3">
                  <c:v>42089.121666666666</c:v>
                </c:pt>
                <c:pt idx="4">
                  <c:v>33766.051666666666</c:v>
                </c:pt>
                <c:pt idx="5">
                  <c:v>42950.281666666669</c:v>
                </c:pt>
                <c:pt idx="6">
                  <c:v>46707.721666666665</c:v>
                </c:pt>
                <c:pt idx="7">
                  <c:v>35256.051666666666</c:v>
                </c:pt>
                <c:pt idx="8">
                  <c:v>3379.49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D-4987-89DD-286C17961D97}"/>
            </c:ext>
          </c:extLst>
        </c:ser>
        <c:ser>
          <c:idx val="1"/>
          <c:order val="1"/>
          <c:tx>
            <c:strRef>
              <c:f>DASHBOARD!$AH$5</c:f>
              <c:strCache>
                <c:ptCount val="1"/>
                <c:pt idx="0">
                  <c:v>Mês selecionado</c:v>
                </c:pt>
              </c:strCache>
            </c:strRef>
          </c:tx>
          <c:spPr>
            <a:solidFill>
              <a:srgbClr val="9FCBF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DASHBOARD!$AE$6:$AE$17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DASHBOARD!$AH$6:$AH$17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D-4987-89DD-286C17961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1567985"/>
        <c:axId val="83929069"/>
      </c:barChart>
      <c:lineChart>
        <c:grouping val="standard"/>
        <c:varyColors val="0"/>
        <c:ser>
          <c:idx val="2"/>
          <c:order val="2"/>
          <c:tx>
            <c:strRef>
              <c:f>DASHBOARD!$AF$5</c:f>
              <c:strCache>
                <c:ptCount val="1"/>
                <c:pt idx="0">
                  <c:v>Orçado</c:v>
                </c:pt>
              </c:strCache>
            </c:strRef>
          </c:tx>
          <c:spPr>
            <a:ln w="248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DASHBOARD!$AE$6:$AE$17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DASHBOARD!$AF$6:$AF$17</c:f>
              <c:numCache>
                <c:formatCode>"R$ "#,##0.00;[Red]"-R$ "#,##0.00;\-</c:formatCode>
                <c:ptCount val="12"/>
                <c:pt idx="0">
                  <c:v>42546.761666666665</c:v>
                </c:pt>
                <c:pt idx="1">
                  <c:v>37412.161666666667</c:v>
                </c:pt>
                <c:pt idx="2">
                  <c:v>34531.221666666665</c:v>
                </c:pt>
                <c:pt idx="3">
                  <c:v>42089.121666666666</c:v>
                </c:pt>
                <c:pt idx="4">
                  <c:v>33766.051666666666</c:v>
                </c:pt>
                <c:pt idx="5">
                  <c:v>42950.281666666669</c:v>
                </c:pt>
                <c:pt idx="6">
                  <c:v>46707.721666666665</c:v>
                </c:pt>
                <c:pt idx="7">
                  <c:v>35256.051666666666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CD-4987-89DD-286C17961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1567985"/>
        <c:axId val="83929069"/>
      </c:lineChart>
      <c:catAx>
        <c:axId val="515679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59595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83929069"/>
        <c:crosses val="autoZero"/>
        <c:auto val="1"/>
        <c:lblAlgn val="ctr"/>
        <c:lblOffset val="100"/>
        <c:noMultiLvlLbl val="0"/>
      </c:catAx>
      <c:valAx>
        <c:axId val="83929069"/>
        <c:scaling>
          <c:orientation val="minMax"/>
        </c:scaling>
        <c:delete val="0"/>
        <c:axPos val="l"/>
        <c:majorGridlines>
          <c:spPr>
            <a:ln w="9360">
              <a:solidFill>
                <a:srgbClr val="3F3F3F"/>
              </a:solidFill>
              <a:round/>
            </a:ln>
          </c:spPr>
        </c:majorGridlines>
        <c:numFmt formatCode="&quot;R$&quot;#,##0.0,\k" sourceLinked="0"/>
        <c:majorTickMark val="none"/>
        <c:minorTickMark val="none"/>
        <c:tickLblPos val="nextTo"/>
        <c:spPr>
          <a:ln w="9360">
            <a:solidFill>
              <a:srgbClr val="59595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51567985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pt-BR"/>
        </a:p>
      </c:txPr>
    </c:legend>
    <c:plotVisOnly val="0"/>
    <c:dispBlanksAs val="gap"/>
    <c:showDLblsOverMax val="1"/>
  </c:chart>
  <c:spPr>
    <a:gradFill>
      <a:gsLst>
        <a:gs pos="0">
          <a:srgbClr val="505050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3154547995527871"/>
          <c:y val="2.3709763948497855E-2"/>
          <c:w val="0.68274245974752401"/>
          <c:h val="0.89700675893144499"/>
        </c:manualLayout>
      </c:layout>
      <c:doughnutChart>
        <c:varyColors val="1"/>
        <c:ser>
          <c:idx val="0"/>
          <c:order val="0"/>
          <c:tx>
            <c:strRef>
              <c:f>DASHBOARD!$BA$5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solidFill>
                  <a:srgbClr val="33333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A68-42A7-B53D-2E82D222E5E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rgbClr val="33333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A68-42A7-B53D-2E82D222E5E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solidFill>
                  <a:srgbClr val="33333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A68-42A7-B53D-2E82D222E5E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solidFill>
                  <a:srgbClr val="33333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3A68-42A7-B53D-2E82D222E5E4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solidFill>
                  <a:srgbClr val="33333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3A68-42A7-B53D-2E82D222E5E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68-42A7-B53D-2E82D222E5E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68-42A7-B53D-2E82D222E5E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68-42A7-B53D-2E82D222E5E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A68-42A7-B53D-2E82D222E5E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A68-42A7-B53D-2E82D222E5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DASHBOARD!$AX$6:$AX$10</c:f>
              <c:strCache>
                <c:ptCount val="5"/>
                <c:pt idx="0">
                  <c:v>Pessoal</c:v>
                </c:pt>
                <c:pt idx="1">
                  <c:v>Utilidades</c:v>
                </c:pt>
                <c:pt idx="2">
                  <c:v>Seguros e Segurança</c:v>
                </c:pt>
                <c:pt idx="3">
                  <c:v>Manutenção</c:v>
                </c:pt>
                <c:pt idx="4">
                  <c:v>Impostos e Taxas</c:v>
                </c:pt>
              </c:strCache>
            </c:strRef>
          </c:cat>
          <c:val>
            <c:numRef>
              <c:f>DASHBOARD!$BA$6:$BA$10</c:f>
              <c:numCache>
                <c:formatCode>General</c:formatCode>
                <c:ptCount val="5"/>
                <c:pt idx="0">
                  <c:v>115134.48</c:v>
                </c:pt>
                <c:pt idx="1">
                  <c:v>3248.7200000000003</c:v>
                </c:pt>
                <c:pt idx="2">
                  <c:v>5641.27</c:v>
                </c:pt>
                <c:pt idx="3">
                  <c:v>15991</c:v>
                </c:pt>
                <c:pt idx="4">
                  <c:v>2569.27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68-42A7-B53D-2E82D222E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1.6037811323563501E-2"/>
          <c:y val="0.926090723582633"/>
          <c:w val="0.96226399957391195"/>
          <c:h val="6.27532255188369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pt-BR"/>
        </a:p>
      </c:txPr>
    </c:legend>
    <c:plotVisOnly val="0"/>
    <c:dispBlanksAs val="gap"/>
    <c:showDLblsOverMax val="1"/>
  </c:chart>
  <c:spPr>
    <a:gradFill>
      <a:gsLst>
        <a:gs pos="0">
          <a:srgbClr val="505050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DASHBOARD!$AU$5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DASHBOARD!$AT$6:$AT$15</c:f>
              <c:strCache>
                <c:ptCount val="10"/>
                <c:pt idx="0">
                  <c:v>Funcionários</c:v>
                </c:pt>
                <c:pt idx="1">
                  <c:v>Tubete</c:v>
                </c:pt>
                <c:pt idx="2">
                  <c:v>Combustivel</c:v>
                </c:pt>
                <c:pt idx="3">
                  <c:v>Parcela Caminhão</c:v>
                </c:pt>
                <c:pt idx="4">
                  <c:v>Manutenção Veicular (peças, servico, revisao, licenciamento)</c:v>
                </c:pt>
                <c:pt idx="5">
                  <c:v>Manutenção Predial</c:v>
                </c:pt>
                <c:pt idx="6">
                  <c:v>Seguro do Caminhão</c:v>
                </c:pt>
                <c:pt idx="7">
                  <c:v>Segurança Emive</c:v>
                </c:pt>
                <c:pt idx="8">
                  <c:v>IPTU</c:v>
                </c:pt>
                <c:pt idx="9">
                  <c:v>Seguro galpão</c:v>
                </c:pt>
              </c:strCache>
            </c:strRef>
          </c:cat>
          <c:val>
            <c:numRef>
              <c:f>DASHBOARD!$AU$6:$AU$15</c:f>
              <c:numCache>
                <c:formatCode>General</c:formatCode>
                <c:ptCount val="10"/>
                <c:pt idx="0">
                  <c:v>113702.48</c:v>
                </c:pt>
                <c:pt idx="1">
                  <c:v>112281.2</c:v>
                </c:pt>
                <c:pt idx="2">
                  <c:v>30733.02</c:v>
                </c:pt>
                <c:pt idx="3">
                  <c:v>30415.409999999989</c:v>
                </c:pt>
                <c:pt idx="4">
                  <c:v>10623</c:v>
                </c:pt>
                <c:pt idx="5">
                  <c:v>4198</c:v>
                </c:pt>
                <c:pt idx="6">
                  <c:v>3714.4933333333279</c:v>
                </c:pt>
                <c:pt idx="7">
                  <c:v>3072</c:v>
                </c:pt>
                <c:pt idx="8">
                  <c:v>2569.27</c:v>
                </c:pt>
                <c:pt idx="9">
                  <c:v>2569.27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1-4DD3-B0A6-F4E07B1EF322}"/>
            </c:ext>
          </c:extLst>
        </c:ser>
        <c:ser>
          <c:idx val="1"/>
          <c:order val="1"/>
          <c:tx>
            <c:strRef>
              <c:f>DASHBOARD!$AV$5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rgbClr val="7F7F7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DASHBOARD!$AT$6:$AT$15</c:f>
              <c:strCache>
                <c:ptCount val="10"/>
                <c:pt idx="0">
                  <c:v>Funcionários</c:v>
                </c:pt>
                <c:pt idx="1">
                  <c:v>Tubete</c:v>
                </c:pt>
                <c:pt idx="2">
                  <c:v>Combustivel</c:v>
                </c:pt>
                <c:pt idx="3">
                  <c:v>Parcela Caminhão</c:v>
                </c:pt>
                <c:pt idx="4">
                  <c:v>Manutenção Veicular (peças, servico, revisao, licenciamento)</c:v>
                </c:pt>
                <c:pt idx="5">
                  <c:v>Manutenção Predial</c:v>
                </c:pt>
                <c:pt idx="6">
                  <c:v>Seguro do Caminhão</c:v>
                </c:pt>
                <c:pt idx="7">
                  <c:v>Segurança Emive</c:v>
                </c:pt>
                <c:pt idx="8">
                  <c:v>IPTU</c:v>
                </c:pt>
                <c:pt idx="9">
                  <c:v>Seguro galpão</c:v>
                </c:pt>
              </c:strCache>
            </c:strRef>
          </c:cat>
          <c:val>
            <c:numRef>
              <c:f>DASHBOARD!$AV$6:$AV$15</c:f>
              <c:numCache>
                <c:formatCode>General</c:formatCode>
                <c:ptCount val="10"/>
                <c:pt idx="0">
                  <c:v>113702.48</c:v>
                </c:pt>
                <c:pt idx="1">
                  <c:v>112281.2</c:v>
                </c:pt>
                <c:pt idx="2">
                  <c:v>30733.02</c:v>
                </c:pt>
                <c:pt idx="3">
                  <c:v>27035.919999999991</c:v>
                </c:pt>
                <c:pt idx="4">
                  <c:v>9533</c:v>
                </c:pt>
                <c:pt idx="5">
                  <c:v>4198</c:v>
                </c:pt>
                <c:pt idx="6">
                  <c:v>3714.4933333333279</c:v>
                </c:pt>
                <c:pt idx="7">
                  <c:v>3072</c:v>
                </c:pt>
                <c:pt idx="8">
                  <c:v>2569.27</c:v>
                </c:pt>
                <c:pt idx="9">
                  <c:v>2569.27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1-4DD3-B0A6-F4E07B1EF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7494269"/>
        <c:axId val="2575477"/>
      </c:barChart>
      <c:catAx>
        <c:axId val="47494269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59595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2575477"/>
        <c:crosses val="autoZero"/>
        <c:auto val="1"/>
        <c:lblAlgn val="ctr"/>
        <c:lblOffset val="100"/>
        <c:noMultiLvlLbl val="0"/>
      </c:catAx>
      <c:valAx>
        <c:axId val="2575477"/>
        <c:scaling>
          <c:orientation val="minMax"/>
        </c:scaling>
        <c:delete val="0"/>
        <c:axPos val="t"/>
        <c:majorGridlines>
          <c:spPr>
            <a:ln w="9360">
              <a:solidFill>
                <a:srgbClr val="3F3F3F"/>
              </a:solidFill>
              <a:round/>
            </a:ln>
          </c:spPr>
        </c:majorGridlines>
        <c:numFmt formatCode="&quot;R$&quot;#,##0.0,\k" sourceLinked="0"/>
        <c:majorTickMark val="none"/>
        <c:minorTickMark val="none"/>
        <c:tickLblPos val="nextTo"/>
        <c:spPr>
          <a:ln w="9360">
            <a:solidFill>
              <a:srgbClr val="59595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47494269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pt-BR"/>
        </a:p>
      </c:txPr>
    </c:legend>
    <c:plotVisOnly val="0"/>
    <c:dispBlanksAs val="gap"/>
    <c:showDLblsOverMax val="1"/>
  </c:chart>
  <c:spPr>
    <a:gradFill>
      <a:gsLst>
        <a:gs pos="0">
          <a:srgbClr val="505050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DASHBOARD!$BF$5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2E9E7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DASHBOARD!$BE$6:$BE$17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DASHBOARD!$BF$6:$BF$17</c:f>
              <c:numCache>
                <c:formatCode>"R$ "#,##0;"-R$ "#,##0;\–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E-4695-91D0-1A7EF0D56596}"/>
            </c:ext>
          </c:extLst>
        </c:ser>
        <c:ser>
          <c:idx val="1"/>
          <c:order val="1"/>
          <c:tx>
            <c:strRef>
              <c:f>DASHBOARD!$BG$5</c:f>
              <c:strCache>
                <c:ptCount val="1"/>
                <c:pt idx="0">
                  <c:v>Despesa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DASHBOARD!$BE$6:$BE$17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DASHBOARD!$BG$6:$BG$17</c:f>
              <c:numCache>
                <c:formatCode>"R$ "#,##0.00;[Red]"-R$ "#,##0.00;\-</c:formatCode>
                <c:ptCount val="12"/>
                <c:pt idx="0">
                  <c:v>42546.761666666665</c:v>
                </c:pt>
                <c:pt idx="1">
                  <c:v>37412.161666666667</c:v>
                </c:pt>
                <c:pt idx="2">
                  <c:v>35621.221666666665</c:v>
                </c:pt>
                <c:pt idx="3">
                  <c:v>42089.121666666666</c:v>
                </c:pt>
                <c:pt idx="4">
                  <c:v>33766.051666666666</c:v>
                </c:pt>
                <c:pt idx="5">
                  <c:v>42950.281666666669</c:v>
                </c:pt>
                <c:pt idx="6">
                  <c:v>46707.721666666665</c:v>
                </c:pt>
                <c:pt idx="7">
                  <c:v>35256.051666666666</c:v>
                </c:pt>
                <c:pt idx="8">
                  <c:v>3379.49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E-4695-91D0-1A7EF0D56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29616558"/>
        <c:axId val="45672725"/>
      </c:barChart>
      <c:lineChart>
        <c:grouping val="standard"/>
        <c:varyColors val="0"/>
        <c:ser>
          <c:idx val="2"/>
          <c:order val="2"/>
          <c:tx>
            <c:strRef>
              <c:f>DASHBOARD!$BH$5</c:f>
              <c:strCache>
                <c:ptCount val="1"/>
                <c:pt idx="0">
                  <c:v>Resultado</c:v>
                </c:pt>
              </c:strCache>
            </c:strRef>
          </c:tx>
          <c:spPr>
            <a:ln w="28080">
              <a:solidFill>
                <a:srgbClr val="E6A81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DASHBOARD!$BE$6:$BE$17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DASHBOARD!$BH$6:$BH$17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E-4695-91D0-1A7EF0D56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986458"/>
        <c:axId val="1790362"/>
      </c:lineChart>
      <c:catAx>
        <c:axId val="296165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59595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45672725"/>
        <c:crosses val="autoZero"/>
        <c:auto val="1"/>
        <c:lblAlgn val="ctr"/>
        <c:lblOffset val="100"/>
        <c:noMultiLvlLbl val="0"/>
      </c:catAx>
      <c:valAx>
        <c:axId val="45672725"/>
        <c:scaling>
          <c:orientation val="minMax"/>
          <c:max val="56000"/>
          <c:min val="0"/>
        </c:scaling>
        <c:delete val="0"/>
        <c:axPos val="l"/>
        <c:majorGridlines>
          <c:spPr>
            <a:ln w="9360">
              <a:solidFill>
                <a:srgbClr val="3F3F3F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59595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29616558"/>
        <c:crosses val="autoZero"/>
        <c:crossBetween val="between"/>
      </c:valAx>
      <c:catAx>
        <c:axId val="19864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59595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1790362"/>
        <c:crosses val="autoZero"/>
        <c:auto val="1"/>
        <c:lblAlgn val="ctr"/>
        <c:lblOffset val="100"/>
        <c:noMultiLvlLbl val="0"/>
      </c:catAx>
      <c:valAx>
        <c:axId val="1790362"/>
        <c:scaling>
          <c:orientation val="minMax"/>
          <c:max val="560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986458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pt-BR"/>
        </a:p>
      </c:txPr>
    </c:legend>
    <c:plotVisOnly val="0"/>
    <c:dispBlanksAs val="gap"/>
    <c:showDLblsOverMax val="1"/>
  </c:chart>
  <c:spPr>
    <a:gradFill>
      <a:gsLst>
        <a:gs pos="0">
          <a:srgbClr val="505050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13</xdr:col>
      <xdr:colOff>53280</xdr:colOff>
      <xdr:row>27</xdr:row>
      <xdr:rowOff>154800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455040</xdr:colOff>
      <xdr:row>13</xdr:row>
      <xdr:rowOff>0</xdr:rowOff>
    </xdr:from>
    <xdr:to>
      <xdr:col>26</xdr:col>
      <xdr:colOff>390960</xdr:colOff>
      <xdr:row>27</xdr:row>
      <xdr:rowOff>154800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13</xdr:col>
      <xdr:colOff>30960</xdr:colOff>
      <xdr:row>44</xdr:row>
      <xdr:rowOff>154800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19</xdr:col>
      <xdr:colOff>120960</xdr:colOff>
      <xdr:row>68</xdr:row>
      <xdr:rowOff>38880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pageSetUpPr fitToPage="1"/>
  </sheetPr>
  <dimension ref="A1:BH69"/>
  <sheetViews>
    <sheetView showGridLines="0" zoomScale="85" zoomScaleNormal="85" workbookViewId="0">
      <pane ySplit="6" topLeftCell="A10" activePane="bottomLeft" state="frozen"/>
      <selection pane="bottomLeft" activeCell="N9" sqref="N9:Q10"/>
    </sheetView>
  </sheetViews>
  <sheetFormatPr defaultColWidth="8.6640625" defaultRowHeight="14.4" x14ac:dyDescent="0.3"/>
  <cols>
    <col min="1" max="1" width="1.5546875" style="1" customWidth="1"/>
    <col min="2" max="27" width="6.88671875" style="1" customWidth="1"/>
    <col min="28" max="28" width="1.5546875" style="1" customWidth="1"/>
    <col min="29" max="60" width="13" style="1" hidden="1" customWidth="1"/>
  </cols>
  <sheetData>
    <row r="1" spans="1:60" ht="43.5" customHeight="1" x14ac:dyDescent="0.3">
      <c r="A1" s="2"/>
      <c r="B1" s="91" t="s">
        <v>100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4"/>
      <c r="AD1" s="1">
        <f>IF($U$3="Ano",1,MATCH($U$3,Lançamentos!$C$4:$N$4,0))</f>
        <v>1</v>
      </c>
    </row>
    <row r="2" spans="1:60" ht="14.25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4"/>
    </row>
    <row r="3" spans="1:60" ht="15" customHeight="1" x14ac:dyDescent="0.3">
      <c r="A3" s="2"/>
      <c r="B3" s="92" t="s">
        <v>0</v>
      </c>
      <c r="C3" s="92"/>
      <c r="D3" s="92"/>
      <c r="E3" s="92"/>
      <c r="F3" s="92"/>
      <c r="G3" s="92" t="s">
        <v>1</v>
      </c>
      <c r="H3" s="92"/>
      <c r="I3" s="92"/>
      <c r="J3" s="92"/>
      <c r="K3" s="92"/>
      <c r="L3" s="92" t="s">
        <v>2</v>
      </c>
      <c r="M3" s="92"/>
      <c r="N3" s="92"/>
      <c r="O3" s="92"/>
      <c r="P3" s="92"/>
      <c r="Q3" s="92"/>
      <c r="R3" s="93" t="s">
        <v>3</v>
      </c>
      <c r="S3" s="93"/>
      <c r="T3" s="93"/>
      <c r="U3" s="94" t="s">
        <v>4</v>
      </c>
      <c r="V3" s="94"/>
      <c r="W3" s="94"/>
      <c r="X3" s="93" t="s">
        <v>5</v>
      </c>
      <c r="Y3" s="93"/>
      <c r="Z3" s="95">
        <f>Cadastro!G2</f>
        <v>2026</v>
      </c>
      <c r="AA3" s="95"/>
      <c r="AB3" s="4"/>
      <c r="AD3" s="1">
        <f>IF($U$3="Ano",12,AD1)</f>
        <v>12</v>
      </c>
    </row>
    <row r="4" spans="1:60" ht="25.5" customHeight="1" x14ac:dyDescent="0.3">
      <c r="A4" s="2"/>
      <c r="B4" s="96">
        <f>BC18</f>
        <v>0</v>
      </c>
      <c r="C4" s="96"/>
      <c r="D4" s="96"/>
      <c r="E4" s="96"/>
      <c r="F4" s="96"/>
      <c r="G4" s="96">
        <f>BC20</f>
        <v>319728.86333333328</v>
      </c>
      <c r="H4" s="96"/>
      <c r="I4" s="96"/>
      <c r="J4" s="96"/>
      <c r="K4" s="96"/>
      <c r="L4" s="97">
        <f>BC18-BC20</f>
        <v>-319728.86333333328</v>
      </c>
      <c r="M4" s="97"/>
      <c r="N4" s="97"/>
      <c r="O4" s="97"/>
      <c r="P4" s="97"/>
      <c r="Q4" s="97"/>
      <c r="R4" s="93"/>
      <c r="S4" s="93"/>
      <c r="T4" s="93"/>
      <c r="U4" s="94"/>
      <c r="V4" s="94"/>
      <c r="W4" s="94"/>
      <c r="X4" s="93"/>
      <c r="Y4" s="93"/>
      <c r="Z4" s="95"/>
      <c r="AA4" s="95"/>
      <c r="AB4" s="4"/>
    </row>
    <row r="5" spans="1:60" ht="6.7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E5" s="1" t="s">
        <v>6</v>
      </c>
      <c r="AF5" s="1" t="s">
        <v>7</v>
      </c>
      <c r="AG5" s="1" t="s">
        <v>8</v>
      </c>
      <c r="AH5" s="1" t="s">
        <v>9</v>
      </c>
      <c r="AU5" s="1" t="s">
        <v>8</v>
      </c>
      <c r="AV5" s="1" t="s">
        <v>7</v>
      </c>
      <c r="BA5" s="1" t="s">
        <v>10</v>
      </c>
      <c r="BE5" s="1" t="s">
        <v>6</v>
      </c>
      <c r="BF5" s="1" t="s">
        <v>11</v>
      </c>
      <c r="BG5" s="1" t="s">
        <v>12</v>
      </c>
      <c r="BH5" s="1" t="s">
        <v>13</v>
      </c>
    </row>
    <row r="6" spans="1:60" ht="21.75" customHeight="1" x14ac:dyDescent="0.3">
      <c r="A6" s="4"/>
      <c r="B6" s="90" t="s">
        <v>4</v>
      </c>
      <c r="C6" s="90"/>
      <c r="D6" s="86" t="s">
        <v>14</v>
      </c>
      <c r="E6" s="86"/>
      <c r="F6" s="86" t="s">
        <v>15</v>
      </c>
      <c r="G6" s="86"/>
      <c r="H6" s="86" t="s">
        <v>16</v>
      </c>
      <c r="I6" s="86"/>
      <c r="J6" s="86" t="s">
        <v>17</v>
      </c>
      <c r="K6" s="86"/>
      <c r="L6" s="86" t="s">
        <v>18</v>
      </c>
      <c r="M6" s="86"/>
      <c r="N6" s="86" t="s">
        <v>19</v>
      </c>
      <c r="O6" s="86"/>
      <c r="P6" s="86" t="s">
        <v>20</v>
      </c>
      <c r="Q6" s="86"/>
      <c r="R6" s="86" t="s">
        <v>21</v>
      </c>
      <c r="S6" s="86"/>
      <c r="T6" s="86" t="s">
        <v>22</v>
      </c>
      <c r="U6" s="86"/>
      <c r="V6" s="86" t="s">
        <v>23</v>
      </c>
      <c r="W6" s="86"/>
      <c r="X6" s="86" t="s">
        <v>24</v>
      </c>
      <c r="Y6" s="86"/>
      <c r="Z6" s="86" t="s">
        <v>25</v>
      </c>
      <c r="AA6" s="86"/>
      <c r="AB6" s="4"/>
      <c r="AE6" s="1" t="s">
        <v>14</v>
      </c>
      <c r="AF6" s="5">
        <f>Orçado!C23</f>
        <v>42546.761666666665</v>
      </c>
      <c r="AG6" s="5">
        <f>IF(AI6=0,"",IF(AND($U$3&lt;&gt;"Ano",1=$AD$1),"",Lançamentos!C23))</f>
        <v>42546.761666666665</v>
      </c>
      <c r="AH6" s="1" t="str">
        <f>IF(AND($U$3&lt;&gt;"Ano",1=$AD$1,AI6=1),Lançamentos!C23,"")</f>
        <v/>
      </c>
      <c r="AI6" s="1">
        <f>IF(Lançamentos!C24&gt;0,1,0)</f>
        <v>1</v>
      </c>
      <c r="AL6" s="1" t="str">
        <f>Lançamentos!A5</f>
        <v>Água</v>
      </c>
      <c r="AM6" s="1" t="str">
        <f>Lançamentos!B5</f>
        <v>Utilidades</v>
      </c>
      <c r="AN6" s="1">
        <f>IF(AL6="","",SUMPRODUCT((Lançamentos!$C$3:$N$3&gt;=$AD$1)*(Lançamentos!$C$3:$N$3&lt;=$AD$3)*Orçado!$C5:$N5))</f>
        <v>745.52</v>
      </c>
      <c r="AO6" s="1">
        <f>IF(AL6="","",SUMPRODUCT((Lançamentos!$C$3:$N$3&gt;=$AD$1)*(Lançamentos!$C$3:$N$3&lt;=$AD$3)*Lançamentos!$C5:$N5))</f>
        <v>745.52</v>
      </c>
      <c r="AP6" s="1">
        <f>IF(AL6="","",IF($BC$8&gt;0,SUMPRODUCT((Lançamentos!$C$3:$N$3&gt;=$AD$1)*(Lançamentos!$C$3:$N$3&lt;=$AD$3)*(Lançamentos!$C$24:$N$24&gt;0)*Orçado!$C5:$N5),AN6))</f>
        <v>745.52</v>
      </c>
      <c r="AQ6" s="1">
        <f t="shared" ref="AQ6:AQ25" si="0">IF(AL6="","",AO6+AP6/1000000+ROW()/1000000000)</f>
        <v>745.52074552600004</v>
      </c>
      <c r="AS6" s="1">
        <f>IFERROR(MATCH(LARGE($AQ$6:$AQ$25,1),$AQ$6:$AQ$25,0),"")</f>
        <v>10</v>
      </c>
      <c r="AT6" s="1" t="str">
        <f t="shared" ref="AT6:AT15" si="1">IF(AS6="","",INDEX($AL$6:$AL$25,AS6))</f>
        <v>Funcionários</v>
      </c>
      <c r="AU6" s="1">
        <f t="shared" ref="AU6:AU15" si="2">IF(AS6="","",INDEX($AO$6:$AO$25,AS6))</f>
        <v>113702.48</v>
      </c>
      <c r="AV6" s="1">
        <f t="shared" ref="AV6:AV15" si="3">IF(AS6="","",INDEX($AP$6:$AP$25,AS6))</f>
        <v>113702.48</v>
      </c>
      <c r="AX6" s="1" t="str">
        <f>Cadastro!L5</f>
        <v>Pessoal</v>
      </c>
      <c r="AY6" s="1">
        <f t="shared" ref="AY6:AY11" si="4">SUMIF($AM$6:$AM$25,AX6,$AO$6:$AO$25)</f>
        <v>115134.48</v>
      </c>
      <c r="AZ6" s="1">
        <f t="shared" ref="AZ6:AZ11" si="5">SUMIF($AM$6:$AM$25,AX6,$AN$6:$AN$25)</f>
        <v>115134.48</v>
      </c>
      <c r="BA6" s="1">
        <f t="shared" ref="BA6:BA11" si="6">IF(SUM($AY$6:$AY$11)&gt;0,AY6,AZ6)</f>
        <v>115134.48</v>
      </c>
      <c r="BC6" s="1">
        <f>SUMPRODUCT((Lançamentos!$C$3:$N$3&gt;=$AD$1)*(Lançamentos!$C$3:$N$3&lt;=$AD$3)*Lançamentos!$C$23:$N$23)</f>
        <v>319728.86333333328</v>
      </c>
      <c r="BE6" s="1" t="str">
        <f t="shared" ref="BE6:BE17" si="7">AE6</f>
        <v>Jan</v>
      </c>
      <c r="BF6" s="6" t="str">
        <f>IF(Faturamento!C17=0,"",Faturamento!C16)</f>
        <v/>
      </c>
      <c r="BG6" s="5">
        <f>IF(Lançamentos!C24=0,"",Lançamentos!C23)</f>
        <v>42546.761666666665</v>
      </c>
      <c r="BH6" s="1" t="str">
        <f t="shared" ref="BH6:BH17" si="8">IF(OR(BF6="",BG6=""),"",BF6-BG6)</f>
        <v/>
      </c>
    </row>
    <row r="7" spans="1:60" ht="6.7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E7" s="1" t="s">
        <v>15</v>
      </c>
      <c r="AF7" s="5">
        <f>Orçado!D23</f>
        <v>37412.161666666667</v>
      </c>
      <c r="AG7" s="5">
        <f>IF(AI7=0,"",IF(AND($U$3&lt;&gt;"Ano",2=$AD$1),"",Lançamentos!D23))</f>
        <v>37412.161666666667</v>
      </c>
      <c r="AH7" s="1" t="str">
        <f>IF(AND($U$3&lt;&gt;"Ano",2=$AD$1,AI7=1),Lançamentos!D23,"")</f>
        <v/>
      </c>
      <c r="AI7" s="1">
        <f>IF(Lançamentos!D24&gt;0,1,0)</f>
        <v>1</v>
      </c>
      <c r="AL7" s="1" t="str">
        <f>Lançamentos!A6</f>
        <v>Energia</v>
      </c>
      <c r="AM7" s="1" t="str">
        <f>Lançamentos!B6</f>
        <v>Utilidades</v>
      </c>
      <c r="AN7" s="1">
        <f>IF(AL7="","",SUMPRODUCT((Lançamentos!$C$3:$N$3&gt;=$AD$1)*(Lançamentos!$C$3:$N$3&lt;=$AD$3)*Orçado!$C6:$N6))</f>
        <v>1161.5200000000002</v>
      </c>
      <c r="AO7" s="1">
        <f>IF(AL7="","",SUMPRODUCT((Lançamentos!$C$3:$N$3&gt;=$AD$1)*(Lançamentos!$C$3:$N$3&lt;=$AD$3)*Lançamentos!$C6:$N6))</f>
        <v>1161.5200000000002</v>
      </c>
      <c r="AP7" s="1">
        <f>IF(AL7="","",IF($BC$8&gt;0,SUMPRODUCT((Lançamentos!$C$3:$N$3&gt;=$AD$1)*(Lançamentos!$C$3:$N$3&lt;=$AD$3)*(Lançamentos!$C$24:$N$24&gt;0)*Orçado!$C6:$N6),AN7))</f>
        <v>1161.5200000000002</v>
      </c>
      <c r="AQ7" s="1">
        <f t="shared" si="0"/>
        <v>1161.5211615270002</v>
      </c>
      <c r="AS7" s="1">
        <f>IFERROR(MATCH(LARGE($AQ$6:$AQ$25,2),$AQ$6:$AQ$25,0),"")</f>
        <v>16</v>
      </c>
      <c r="AT7" s="1" t="str">
        <f t="shared" si="1"/>
        <v>Tubete</v>
      </c>
      <c r="AU7" s="1">
        <f t="shared" si="2"/>
        <v>112281.2</v>
      </c>
      <c r="AV7" s="1">
        <f t="shared" si="3"/>
        <v>112281.2</v>
      </c>
      <c r="AX7" s="1" t="str">
        <f>Cadastro!L6</f>
        <v>Utilidades</v>
      </c>
      <c r="AY7" s="1">
        <f t="shared" si="4"/>
        <v>3248.7200000000003</v>
      </c>
      <c r="AZ7" s="1">
        <f t="shared" si="5"/>
        <v>3248.7200000000003</v>
      </c>
      <c r="BA7" s="1">
        <f t="shared" si="6"/>
        <v>3248.7200000000003</v>
      </c>
      <c r="BC7" s="1">
        <f>SUMPRODUCT((Lançamentos!$C$3:$N$3&gt;=$AD$1)*(Lançamentos!$C$3:$N$3&lt;=$AD$3)*Orçado!$C$23:$N$23)</f>
        <v>315259.37333333329</v>
      </c>
      <c r="BE7" s="1" t="str">
        <f t="shared" si="7"/>
        <v>Fev</v>
      </c>
      <c r="BF7" s="6" t="str">
        <f>IF(Faturamento!D17=0,"",Faturamento!D16)</f>
        <v/>
      </c>
      <c r="BG7" s="5">
        <f>IF(Lançamentos!D24=0,"",Lançamentos!D23)</f>
        <v>37412.161666666667</v>
      </c>
      <c r="BH7" s="1" t="str">
        <f t="shared" si="8"/>
        <v/>
      </c>
    </row>
    <row r="8" spans="1:60" ht="18" customHeight="1" x14ac:dyDescent="0.3">
      <c r="A8" s="4"/>
      <c r="B8" s="87" t="str">
        <f>"Realizado · "&amp;$BC$14</f>
        <v>Realizado · Ano 2026</v>
      </c>
      <c r="C8" s="87"/>
      <c r="D8" s="87"/>
      <c r="E8" s="87"/>
      <c r="F8" s="87" t="s">
        <v>26</v>
      </c>
      <c r="G8" s="87"/>
      <c r="H8" s="87"/>
      <c r="I8" s="87"/>
      <c r="J8" s="88" t="s">
        <v>27</v>
      </c>
      <c r="K8" s="88"/>
      <c r="L8" s="88"/>
      <c r="M8" s="88"/>
      <c r="N8" s="88" t="s">
        <v>28</v>
      </c>
      <c r="O8" s="88"/>
      <c r="P8" s="88"/>
      <c r="Q8" s="88"/>
      <c r="R8" s="89" t="s">
        <v>29</v>
      </c>
      <c r="S8" s="89"/>
      <c r="T8" s="89"/>
      <c r="U8" s="89"/>
      <c r="V8" s="89"/>
      <c r="W8" s="89" t="s">
        <v>30</v>
      </c>
      <c r="X8" s="89"/>
      <c r="Y8" s="89"/>
      <c r="Z8" s="89"/>
      <c r="AA8" s="89"/>
      <c r="AB8" s="4"/>
      <c r="AE8" s="1" t="s">
        <v>16</v>
      </c>
      <c r="AF8" s="5">
        <f>Orçado!E23</f>
        <v>34531.221666666665</v>
      </c>
      <c r="AG8" s="5">
        <f>IF(AI8=0,"",IF(AND($U$3&lt;&gt;"Ano",3=$AD$1),"",Lançamentos!E23))</f>
        <v>35621.221666666665</v>
      </c>
      <c r="AH8" s="1" t="str">
        <f>IF(AND($U$3&lt;&gt;"Ano",3=$AD$1,AI8=1),Lançamentos!E23,"")</f>
        <v/>
      </c>
      <c r="AI8" s="1">
        <f>IF(Lançamentos!E24&gt;0,1,0)</f>
        <v>1</v>
      </c>
      <c r="AL8" s="1" t="str">
        <f>Lançamentos!A7</f>
        <v>Seguro galpão</v>
      </c>
      <c r="AM8" s="1" t="str">
        <f>Lançamentos!B7</f>
        <v>Seguros e Segurança</v>
      </c>
      <c r="AN8" s="1">
        <f>IF(AL8="","",SUMPRODUCT((Lançamentos!$C$3:$N$3&gt;=$AD$1)*(Lançamentos!$C$3:$N$3&lt;=$AD$3)*Orçado!$C7:$N7))</f>
        <v>2569.27</v>
      </c>
      <c r="AO8" s="1">
        <f>IF(AL8="","",SUMPRODUCT((Lançamentos!$C$3:$N$3&gt;=$AD$1)*(Lançamentos!$C$3:$N$3&lt;=$AD$3)*Lançamentos!$C7:$N7))</f>
        <v>2569.27</v>
      </c>
      <c r="AP8" s="1">
        <f>IF(AL8="","",IF($BC$8&gt;0,SUMPRODUCT((Lançamentos!$C$3:$N$3&gt;=$AD$1)*(Lançamentos!$C$3:$N$3&lt;=$AD$3)*(Lançamentos!$C$24:$N$24&gt;0)*Orçado!$C7:$N7),AN8))</f>
        <v>2569.27</v>
      </c>
      <c r="AQ8" s="1">
        <f t="shared" si="0"/>
        <v>2569.272569278</v>
      </c>
      <c r="AS8" s="1">
        <f>IFERROR(MATCH(LARGE($AQ$6:$AQ$25,3),$AQ$6:$AQ$25,0),"")</f>
        <v>14</v>
      </c>
      <c r="AT8" s="1" t="str">
        <f t="shared" si="1"/>
        <v>Combustivel</v>
      </c>
      <c r="AU8" s="1">
        <f t="shared" si="2"/>
        <v>30733.02</v>
      </c>
      <c r="AV8" s="1">
        <f t="shared" si="3"/>
        <v>30733.02</v>
      </c>
      <c r="AX8" s="1" t="str">
        <f>Cadastro!L7</f>
        <v>Seguros e Segurança</v>
      </c>
      <c r="AY8" s="1">
        <f t="shared" si="4"/>
        <v>5641.27</v>
      </c>
      <c r="AZ8" s="1">
        <f t="shared" si="5"/>
        <v>5641.27</v>
      </c>
      <c r="BA8" s="1">
        <f t="shared" si="6"/>
        <v>5641.27</v>
      </c>
      <c r="BC8" s="1">
        <f>SUMPRODUCT((Lançamentos!$C$3:$N$3&gt;=$AD$1)*(Lançamentos!$C$3:$N$3&lt;=$AD$3)*(Lançamentos!$C$24:$N$24&gt;0)*Orçado!$C$23:$N$23)</f>
        <v>315259.37333333329</v>
      </c>
      <c r="BE8" s="1" t="str">
        <f t="shared" si="7"/>
        <v>Mar</v>
      </c>
      <c r="BF8" s="6" t="str">
        <f>IF(Faturamento!E17=0,"",Faturamento!E16)</f>
        <v/>
      </c>
      <c r="BG8" s="5">
        <f>IF(Lançamentos!E24=0,"",Lançamentos!E23)</f>
        <v>35621.221666666665</v>
      </c>
      <c r="BH8" s="1" t="str">
        <f t="shared" si="8"/>
        <v/>
      </c>
    </row>
    <row r="9" spans="1:60" ht="19.5" customHeight="1" x14ac:dyDescent="0.3">
      <c r="A9" s="4"/>
      <c r="B9" s="74">
        <f>BC6</f>
        <v>319728.86333333328</v>
      </c>
      <c r="C9" s="74"/>
      <c r="D9" s="74"/>
      <c r="E9" s="74"/>
      <c r="F9" s="75">
        <f>IF(BC15=0,0,BC6/BC15-1)</f>
        <v>1.4177183544910044E-2</v>
      </c>
      <c r="G9" s="75"/>
      <c r="H9" s="75"/>
      <c r="I9" s="75"/>
      <c r="J9" s="76">
        <f>IF(BC10=0,0,BC9/BC10)</f>
        <v>0</v>
      </c>
      <c r="K9" s="76"/>
      <c r="L9" s="76"/>
      <c r="M9" s="76"/>
      <c r="N9" s="77">
        <f>IF(BC11=0,0,BC9/BC11)</f>
        <v>35525.429259259254</v>
      </c>
      <c r="O9" s="77"/>
      <c r="P9" s="77"/>
      <c r="Q9" s="77"/>
      <c r="R9" s="78">
        <f>IF(BC6&gt;0,BC12/BC6,IF(BC7=0,0,BC13/BC7))</f>
        <v>0.36010036378844706</v>
      </c>
      <c r="S9" s="78"/>
      <c r="T9" s="78"/>
      <c r="U9" s="78"/>
      <c r="V9" s="78"/>
      <c r="W9" s="79" t="str">
        <f>IF($U$3="Ano",COUNTIF(Lançamentos!$C$25:$N$25,"Completo")&amp;" de 12 meses",INDEX(Lançamentos!$C$25:$N$25,$AD$1))</f>
        <v>0 de 12 meses</v>
      </c>
      <c r="X9" s="79"/>
      <c r="Y9" s="79"/>
      <c r="Z9" s="79"/>
      <c r="AA9" s="79"/>
      <c r="AB9" s="4"/>
      <c r="AE9" s="1" t="s">
        <v>17</v>
      </c>
      <c r="AF9" s="5">
        <f>Orçado!F23</f>
        <v>42089.121666666666</v>
      </c>
      <c r="AG9" s="5">
        <f>IF(AI9=0,"",IF(AND($U$3&lt;&gt;"Ano",4=$AD$1),"",Lançamentos!F23))</f>
        <v>42089.121666666666</v>
      </c>
      <c r="AH9" s="1" t="str">
        <f>IF(AND($U$3&lt;&gt;"Ano",4=$AD$1,AI9=1),Lançamentos!F23,"")</f>
        <v/>
      </c>
      <c r="AI9" s="1">
        <f>IF(Lançamentos!F24&gt;0,1,0)</f>
        <v>1</v>
      </c>
      <c r="AL9" s="1" t="str">
        <f>Lançamentos!A8</f>
        <v>Segurança Emive</v>
      </c>
      <c r="AM9" s="1" t="str">
        <f>Lançamentos!B8</f>
        <v>Seguros e Segurança</v>
      </c>
      <c r="AN9" s="1">
        <f>IF(AL9="","",SUMPRODUCT((Lançamentos!$C$3:$N$3&gt;=$AD$1)*(Lançamentos!$C$3:$N$3&lt;=$AD$3)*Orçado!$C8:$N8))</f>
        <v>3072</v>
      </c>
      <c r="AO9" s="1">
        <f>IF(AL9="","",SUMPRODUCT((Lançamentos!$C$3:$N$3&gt;=$AD$1)*(Lançamentos!$C$3:$N$3&lt;=$AD$3)*Lançamentos!$C8:$N8))</f>
        <v>3072</v>
      </c>
      <c r="AP9" s="1">
        <f>IF(AL9="","",IF($BC$8&gt;0,SUMPRODUCT((Lançamentos!$C$3:$N$3&gt;=$AD$1)*(Lançamentos!$C$3:$N$3&lt;=$AD$3)*(Lançamentos!$C$24:$N$24&gt;0)*Orçado!$C8:$N8),AN9))</f>
        <v>3072</v>
      </c>
      <c r="AQ9" s="1">
        <f t="shared" si="0"/>
        <v>3072.0030720089999</v>
      </c>
      <c r="AS9" s="1">
        <f>IFERROR(MATCH(LARGE($AQ$6:$AQ$25,4),$AQ$6:$AQ$25,0),"")</f>
        <v>19</v>
      </c>
      <c r="AT9" s="1" t="str">
        <f t="shared" si="1"/>
        <v>Parcela Caminhão</v>
      </c>
      <c r="AU9" s="1">
        <f t="shared" si="2"/>
        <v>30415.409999999989</v>
      </c>
      <c r="AV9" s="1">
        <f t="shared" si="3"/>
        <v>27035.919999999991</v>
      </c>
      <c r="AX9" s="1" t="str">
        <f>Cadastro!L8</f>
        <v>Manutenção</v>
      </c>
      <c r="AY9" s="1">
        <f t="shared" si="4"/>
        <v>15991</v>
      </c>
      <c r="AZ9" s="1">
        <f t="shared" si="5"/>
        <v>14901</v>
      </c>
      <c r="BA9" s="1">
        <f t="shared" si="6"/>
        <v>15991</v>
      </c>
      <c r="BC9" s="1">
        <f>SUMPRODUCT((Lançamentos!$C$3:$N$3&lt;=$AD$3)*Lançamentos!$C$23:$N$23)</f>
        <v>319728.86333333328</v>
      </c>
      <c r="BE9" s="1" t="str">
        <f t="shared" si="7"/>
        <v>Abr</v>
      </c>
      <c r="BF9" s="6" t="str">
        <f>IF(Faturamento!F17=0,"",Faturamento!F16)</f>
        <v/>
      </c>
      <c r="BG9" s="5">
        <f>IF(Lançamentos!F24=0,"",Lançamentos!F23)</f>
        <v>42089.121666666666</v>
      </c>
      <c r="BH9" s="1" t="str">
        <f t="shared" si="8"/>
        <v/>
      </c>
    </row>
    <row r="10" spans="1:60" ht="19.5" customHeight="1" x14ac:dyDescent="0.3">
      <c r="A10" s="4"/>
      <c r="B10" s="74"/>
      <c r="C10" s="74"/>
      <c r="D10" s="74"/>
      <c r="E10" s="74"/>
      <c r="F10" s="75"/>
      <c r="G10" s="75"/>
      <c r="H10" s="75"/>
      <c r="I10" s="75"/>
      <c r="J10" s="76"/>
      <c r="K10" s="76"/>
      <c r="L10" s="76"/>
      <c r="M10" s="76"/>
      <c r="N10" s="77"/>
      <c r="O10" s="77"/>
      <c r="P10" s="77"/>
      <c r="Q10" s="77"/>
      <c r="R10" s="78"/>
      <c r="S10" s="78"/>
      <c r="T10" s="78"/>
      <c r="U10" s="78"/>
      <c r="V10" s="78"/>
      <c r="W10" s="79"/>
      <c r="X10" s="79"/>
      <c r="Y10" s="79"/>
      <c r="Z10" s="79"/>
      <c r="AA10" s="79"/>
      <c r="AB10" s="4"/>
      <c r="AE10" s="1" t="s">
        <v>18</v>
      </c>
      <c r="AF10" s="5">
        <f>Orçado!G23</f>
        <v>33766.051666666666</v>
      </c>
      <c r="AG10" s="5">
        <f>IF(AI10=0,"",IF(AND($U$3&lt;&gt;"Ano",5=$AD$1),"",Lançamentos!G23))</f>
        <v>33766.051666666666</v>
      </c>
      <c r="AH10" s="1" t="str">
        <f>IF(AND($U$3&lt;&gt;"Ano",5=$AD$1,AI10=1),Lançamentos!G23,"")</f>
        <v/>
      </c>
      <c r="AI10" s="1">
        <f>IF(Lançamentos!G24&gt;0,1,0)</f>
        <v>1</v>
      </c>
      <c r="AL10" s="1" t="str">
        <f>Lançamentos!A9</f>
        <v>Dedetização</v>
      </c>
      <c r="AM10" s="1" t="str">
        <f>Lançamentos!B9</f>
        <v>Manutenção</v>
      </c>
      <c r="AN10" s="1">
        <f>IF(AL10="","",SUMPRODUCT((Lançamentos!$C$3:$N$3&gt;=$AD$1)*(Lançamentos!$C$3:$N$3&lt;=$AD$3)*Orçado!$C9:$N9))</f>
        <v>600</v>
      </c>
      <c r="AO10" s="1">
        <f>IF(AL10="","",SUMPRODUCT((Lançamentos!$C$3:$N$3&gt;=$AD$1)*(Lançamentos!$C$3:$N$3&lt;=$AD$3)*Lançamentos!$C9:$N9))</f>
        <v>600</v>
      </c>
      <c r="AP10" s="1">
        <f>IF(AL10="","",IF($BC$8&gt;0,SUMPRODUCT((Lançamentos!$C$3:$N$3&gt;=$AD$1)*(Lançamentos!$C$3:$N$3&lt;=$AD$3)*(Lançamentos!$C$24:$N$24&gt;0)*Orçado!$C9:$N9),AN10))</f>
        <v>600</v>
      </c>
      <c r="AQ10" s="1">
        <f t="shared" si="0"/>
        <v>600.00060000999997</v>
      </c>
      <c r="AS10" s="1">
        <f>IFERROR(MATCH(LARGE($AQ$6:$AQ$25,5),$AQ$6:$AQ$25,0),"")</f>
        <v>15</v>
      </c>
      <c r="AT10" s="1" t="str">
        <f t="shared" si="1"/>
        <v>Manutenção Veicular (peças, servico, revisao, licenciamento)</v>
      </c>
      <c r="AU10" s="1">
        <f t="shared" si="2"/>
        <v>10623</v>
      </c>
      <c r="AV10" s="1">
        <f t="shared" si="3"/>
        <v>9533</v>
      </c>
      <c r="AX10" s="1" t="str">
        <f>Cadastro!L9</f>
        <v>Impostos e Taxas</v>
      </c>
      <c r="AY10" s="1">
        <f t="shared" si="4"/>
        <v>2569.27</v>
      </c>
      <c r="AZ10" s="1">
        <f t="shared" si="5"/>
        <v>2569.27</v>
      </c>
      <c r="BA10" s="1">
        <f t="shared" si="6"/>
        <v>2569.27</v>
      </c>
      <c r="BC10" s="5">
        <f>Cadastro!$I$23</f>
        <v>0</v>
      </c>
      <c r="BE10" s="1" t="str">
        <f t="shared" si="7"/>
        <v>Mai</v>
      </c>
      <c r="BF10" s="6" t="str">
        <f>IF(Faturamento!G17=0,"",Faturamento!G16)</f>
        <v/>
      </c>
      <c r="BG10" s="5">
        <f>IF(Lançamentos!G24=0,"",Lançamentos!G23)</f>
        <v>33766.051666666666</v>
      </c>
      <c r="BH10" s="1" t="str">
        <f t="shared" si="8"/>
        <v/>
      </c>
    </row>
    <row r="11" spans="1:60" ht="18" customHeight="1" x14ac:dyDescent="0.3">
      <c r="A11" s="4"/>
      <c r="B11" s="80" t="s">
        <v>7</v>
      </c>
      <c r="C11" s="80"/>
      <c r="D11" s="81">
        <f>BC7</f>
        <v>315259.37333333329</v>
      </c>
      <c r="E11" s="81"/>
      <c r="F11" s="80" t="s">
        <v>31</v>
      </c>
      <c r="G11" s="80"/>
      <c r="H11" s="82">
        <f>BC6-BC15</f>
        <v>4469.4899999999907</v>
      </c>
      <c r="I11" s="82"/>
      <c r="J11" s="83" t="s">
        <v>32</v>
      </c>
      <c r="K11" s="83"/>
      <c r="L11" s="81">
        <f>BC10-BC9</f>
        <v>-319728.86333333328</v>
      </c>
      <c r="M11" s="81"/>
      <c r="N11" s="83" t="s">
        <v>33</v>
      </c>
      <c r="O11" s="83"/>
      <c r="P11" s="81">
        <f>Cadastro!H23</f>
        <v>15577.880833333333</v>
      </c>
      <c r="Q11" s="81"/>
      <c r="R11" s="84" t="s">
        <v>34</v>
      </c>
      <c r="S11" s="84"/>
      <c r="T11" s="81">
        <f>IF(BC6&gt;0,BC12,BC13)</f>
        <v>115134.48</v>
      </c>
      <c r="U11" s="81"/>
      <c r="V11" s="81"/>
      <c r="W11" s="84" t="s">
        <v>35</v>
      </c>
      <c r="X11" s="84"/>
      <c r="Y11" s="85" t="str">
        <f>IF($U$3="Ano",BC11&amp;" c/ dados",INDEX(Lançamentos!$C$24:$N$24,$AD$1)&amp;"/"&amp;COUNTA(Cadastro!$B$5:$B$22))</f>
        <v>9 c/ dados</v>
      </c>
      <c r="Z11" s="85"/>
      <c r="AA11" s="85"/>
      <c r="AB11" s="4"/>
      <c r="AE11" s="1" t="s">
        <v>19</v>
      </c>
      <c r="AF11" s="5">
        <f>Orçado!H23</f>
        <v>42950.281666666669</v>
      </c>
      <c r="AG11" s="5">
        <f>IF(AI11=0,"",IF(AND($U$3&lt;&gt;"Ano",6=$AD$1),"",Lançamentos!H23))</f>
        <v>42950.281666666669</v>
      </c>
      <c r="AH11" s="1" t="str">
        <f>IF(AND($U$3&lt;&gt;"Ano",6=$AD$1,AI11=1),Lançamentos!H23,"")</f>
        <v/>
      </c>
      <c r="AI11" s="1">
        <f>IF(Lançamentos!H24&gt;0,1,0)</f>
        <v>1</v>
      </c>
      <c r="AL11" s="1" t="str">
        <f>Lançamentos!A10</f>
        <v>IPTU</v>
      </c>
      <c r="AM11" s="1" t="str">
        <f>Lançamentos!B10</f>
        <v>Impostos e Taxas</v>
      </c>
      <c r="AN11" s="1">
        <f>IF(AL11="","",SUMPRODUCT((Lançamentos!$C$3:$N$3&gt;=$AD$1)*(Lançamentos!$C$3:$N$3&lt;=$AD$3)*Orçado!$C10:$N10))</f>
        <v>2569.27</v>
      </c>
      <c r="AO11" s="1">
        <f>IF(AL11="","",SUMPRODUCT((Lançamentos!$C$3:$N$3&gt;=$AD$1)*(Lançamentos!$C$3:$N$3&lt;=$AD$3)*Lançamentos!$C10:$N10))</f>
        <v>2569.27</v>
      </c>
      <c r="AP11" s="1">
        <f>IF(AL11="","",IF($BC$8&gt;0,SUMPRODUCT((Lançamentos!$C$3:$N$3&gt;=$AD$1)*(Lançamentos!$C$3:$N$3&lt;=$AD$3)*(Lançamentos!$C$24:$N$24&gt;0)*Orçado!$C10:$N10),AN11))</f>
        <v>2569.27</v>
      </c>
      <c r="AQ11" s="1">
        <f t="shared" si="0"/>
        <v>2569.272569281</v>
      </c>
      <c r="AS11" s="1">
        <f>IFERROR(MATCH(LARGE($AQ$6:$AQ$25,6),$AQ$6:$AQ$25,0),"")</f>
        <v>17</v>
      </c>
      <c r="AT11" s="1" t="str">
        <f t="shared" si="1"/>
        <v>Manutenção Predial</v>
      </c>
      <c r="AU11" s="1">
        <f t="shared" si="2"/>
        <v>4198</v>
      </c>
      <c r="AV11" s="1">
        <f t="shared" si="3"/>
        <v>4198</v>
      </c>
      <c r="AX11" s="1" t="str">
        <f>Cadastro!L10</f>
        <v>Outros</v>
      </c>
      <c r="AY11" s="1">
        <f t="shared" si="4"/>
        <v>0</v>
      </c>
      <c r="AZ11" s="1">
        <f t="shared" si="5"/>
        <v>0</v>
      </c>
      <c r="BA11" s="1">
        <f t="shared" si="6"/>
        <v>0</v>
      </c>
      <c r="BC11" s="1">
        <f>SUMPRODUCT((Lançamentos!$C$3:$N$3&lt;=$AD$3)*(Lançamentos!$C$24:$N$24&gt;0))</f>
        <v>9</v>
      </c>
      <c r="BE11" s="1" t="str">
        <f t="shared" si="7"/>
        <v>Jun</v>
      </c>
      <c r="BF11" s="6" t="str">
        <f>IF(Faturamento!H17=0,"",Faturamento!H16)</f>
        <v/>
      </c>
      <c r="BG11" s="5">
        <f>IF(Lançamentos!H24=0,"",Lançamentos!H23)</f>
        <v>42950.281666666669</v>
      </c>
      <c r="BH11" s="1" t="str">
        <f t="shared" si="8"/>
        <v/>
      </c>
    </row>
    <row r="12" spans="1:60" ht="6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E12" s="1" t="s">
        <v>20</v>
      </c>
      <c r="AF12" s="5">
        <f>Orçado!I23</f>
        <v>46707.721666666665</v>
      </c>
      <c r="AG12" s="5">
        <f>IF(AI12=0,"",IF(AND($U$3&lt;&gt;"Ano",7=$AD$1),"",Lançamentos!I23))</f>
        <v>46707.721666666665</v>
      </c>
      <c r="AH12" s="1" t="str">
        <f>IF(AND($U$3&lt;&gt;"Ano",7=$AD$1,AI12=1),Lançamentos!I23,"")</f>
        <v/>
      </c>
      <c r="AI12" s="1">
        <f>IF(Lançamentos!I24&gt;0,1,0)</f>
        <v>1</v>
      </c>
      <c r="AL12" s="1" t="str">
        <f>Lançamentos!A11</f>
        <v>Controle de Ponto</v>
      </c>
      <c r="AM12" s="1" t="str">
        <f>Lançamentos!B11</f>
        <v>Pessoal</v>
      </c>
      <c r="AN12" s="1">
        <f>IF(AL12="","",SUMPRODUCT((Lançamentos!$C$3:$N$3&gt;=$AD$1)*(Lançamentos!$C$3:$N$3&lt;=$AD$3)*Orçado!$C11:$N11))</f>
        <v>944</v>
      </c>
      <c r="AO12" s="1">
        <f>IF(AL12="","",SUMPRODUCT((Lançamentos!$C$3:$N$3&gt;=$AD$1)*(Lançamentos!$C$3:$N$3&lt;=$AD$3)*Lançamentos!$C11:$N11))</f>
        <v>944</v>
      </c>
      <c r="AP12" s="1">
        <f>IF(AL12="","",IF($BC$8&gt;0,SUMPRODUCT((Lançamentos!$C$3:$N$3&gt;=$AD$1)*(Lançamentos!$C$3:$N$3&lt;=$AD$3)*(Lançamentos!$C$24:$N$24&gt;0)*Orçado!$C11:$N11),AN12))</f>
        <v>944</v>
      </c>
      <c r="AQ12" s="1">
        <f t="shared" si="0"/>
        <v>944.00094401199999</v>
      </c>
      <c r="AS12" s="1">
        <f>IFERROR(MATCH(LARGE($AQ$6:$AQ$25,7),$AQ$6:$AQ$25,0),"")</f>
        <v>18</v>
      </c>
      <c r="AT12" s="1" t="str">
        <f t="shared" si="1"/>
        <v>Seguro do Caminhão</v>
      </c>
      <c r="AU12" s="1">
        <f t="shared" si="2"/>
        <v>3714.4933333333279</v>
      </c>
      <c r="AV12" s="1">
        <f t="shared" si="3"/>
        <v>3714.4933333333279</v>
      </c>
      <c r="BC12" s="1">
        <f>SUMIF($AM$6:$AM$25,"Pessoal",$AO$6:$AO$25)</f>
        <v>115134.48</v>
      </c>
      <c r="BE12" s="1" t="str">
        <f t="shared" si="7"/>
        <v>Jul</v>
      </c>
      <c r="BF12" s="6" t="str">
        <f>IF(Faturamento!I17=0,"",Faturamento!I16)</f>
        <v/>
      </c>
      <c r="BG12" s="5">
        <f>IF(Lançamentos!I24=0,"",Lançamentos!I23)</f>
        <v>46707.721666666665</v>
      </c>
      <c r="BH12" s="1" t="str">
        <f t="shared" si="8"/>
        <v/>
      </c>
    </row>
    <row r="13" spans="1:60" ht="18" customHeight="1" x14ac:dyDescent="0.3">
      <c r="A13" s="4"/>
      <c r="B13" s="71" t="s">
        <v>36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 t="str">
        <f>"Por categoria · "&amp;$BC$14</f>
        <v>Por categoria · Ano 2026</v>
      </c>
      <c r="S13" s="71"/>
      <c r="T13" s="71"/>
      <c r="U13" s="71"/>
      <c r="V13" s="71"/>
      <c r="W13" s="71"/>
      <c r="X13" s="71"/>
      <c r="Y13" s="71"/>
      <c r="Z13" s="71"/>
      <c r="AA13" s="71"/>
      <c r="AB13" s="4"/>
      <c r="AE13" s="1" t="s">
        <v>21</v>
      </c>
      <c r="AF13" s="5">
        <f>Orçado!J23</f>
        <v>35256.051666666666</v>
      </c>
      <c r="AG13" s="5">
        <f>IF(AI13=0,"",IF(AND($U$3&lt;&gt;"Ano",8=$AD$1),"",Lançamentos!J23))</f>
        <v>35256.051666666666</v>
      </c>
      <c r="AH13" s="1" t="str">
        <f>IF(AND($U$3&lt;&gt;"Ano",8=$AD$1,AI13=1),Lançamentos!J23,"")</f>
        <v/>
      </c>
      <c r="AI13" s="1">
        <f>IF(Lançamentos!J24&gt;0,1,0)</f>
        <v>1</v>
      </c>
      <c r="AL13" s="1" t="str">
        <f>Lançamentos!A12</f>
        <v>Extintores</v>
      </c>
      <c r="AM13" s="1" t="str">
        <f>Lançamentos!B12</f>
        <v>Manutenção</v>
      </c>
      <c r="AN13" s="1">
        <f>IF(AL13="","",SUMPRODUCT((Lançamentos!$C$3:$N$3&gt;=$AD$1)*(Lançamentos!$C$3:$N$3&lt;=$AD$3)*Orçado!$C12:$N12))</f>
        <v>570</v>
      </c>
      <c r="AO13" s="1">
        <f>IF(AL13="","",SUMPRODUCT((Lançamentos!$C$3:$N$3&gt;=$AD$1)*(Lançamentos!$C$3:$N$3&lt;=$AD$3)*Lançamentos!$C12:$N12))</f>
        <v>570</v>
      </c>
      <c r="AP13" s="1">
        <f>IF(AL13="","",IF($BC$8&gt;0,SUMPRODUCT((Lançamentos!$C$3:$N$3&gt;=$AD$1)*(Lançamentos!$C$3:$N$3&lt;=$AD$3)*(Lançamentos!$C$24:$N$24&gt;0)*Orçado!$C12:$N12),AN13))</f>
        <v>570</v>
      </c>
      <c r="AQ13" s="1">
        <f t="shared" si="0"/>
        <v>570.00057001300002</v>
      </c>
      <c r="AS13" s="1">
        <f>IFERROR(MATCH(LARGE($AQ$6:$AQ$25,8),$AQ$6:$AQ$25,0),"")</f>
        <v>4</v>
      </c>
      <c r="AT13" s="1" t="str">
        <f t="shared" si="1"/>
        <v>Segurança Emive</v>
      </c>
      <c r="AU13" s="1">
        <f t="shared" si="2"/>
        <v>3072</v>
      </c>
      <c r="AV13" s="1">
        <f t="shared" si="3"/>
        <v>3072</v>
      </c>
      <c r="BC13" s="1">
        <f>SUMIF($AM$6:$AM$25,"Pessoal",$AN$6:$AN$25)</f>
        <v>115134.48</v>
      </c>
      <c r="BE13" s="1" t="str">
        <f t="shared" si="7"/>
        <v>Ago</v>
      </c>
      <c r="BF13" s="6" t="str">
        <f>IF(Faturamento!J17=0,"",Faturamento!J16)</f>
        <v/>
      </c>
      <c r="BG13" s="5">
        <f>IF(Lançamentos!J24=0,"",Lançamentos!J23)</f>
        <v>35256.051666666666</v>
      </c>
      <c r="BH13" s="1" t="str">
        <f t="shared" si="8"/>
        <v/>
      </c>
    </row>
    <row r="14" spans="1:60" ht="18" customHeight="1" x14ac:dyDescent="0.3">
      <c r="A14" s="4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7"/>
      <c r="S14" s="8"/>
      <c r="T14" s="8"/>
      <c r="U14" s="8"/>
      <c r="V14" s="8"/>
      <c r="W14" s="8"/>
      <c r="X14" s="8"/>
      <c r="Y14" s="8"/>
      <c r="Z14" s="8"/>
      <c r="AA14" s="9"/>
      <c r="AB14" s="4"/>
      <c r="AE14" s="1" t="s">
        <v>22</v>
      </c>
      <c r="AF14" s="5">
        <f>Orçado!K23</f>
        <v>0</v>
      </c>
      <c r="AG14" s="5">
        <f>IF(AI14=0,"",IF(AND($U$3&lt;&gt;"Ano",9=$AD$1),"",Lançamentos!K23))</f>
        <v>3379.49</v>
      </c>
      <c r="AH14" s="1" t="str">
        <f>IF(AND($U$3&lt;&gt;"Ano",9=$AD$1,AI14=1),Lançamentos!K23,"")</f>
        <v/>
      </c>
      <c r="AI14" s="1">
        <f>IF(Lançamentos!K24&gt;0,1,0)</f>
        <v>1</v>
      </c>
      <c r="AL14" s="1" t="str">
        <f>Lançamentos!A13</f>
        <v>Internet</v>
      </c>
      <c r="AM14" s="1" t="str">
        <f>Lançamentos!B13</f>
        <v>Utilidades</v>
      </c>
      <c r="AN14" s="1">
        <f>IF(AL14="","",SUMPRODUCT((Lançamentos!$C$3:$N$3&gt;=$AD$1)*(Lançamentos!$C$3:$N$3&lt;=$AD$3)*Orçado!$C13:$N13))</f>
        <v>1341.68</v>
      </c>
      <c r="AO14" s="1">
        <f>IF(AL14="","",SUMPRODUCT((Lançamentos!$C$3:$N$3&gt;=$AD$1)*(Lançamentos!$C$3:$N$3&lt;=$AD$3)*Lançamentos!$C13:$N13))</f>
        <v>1341.68</v>
      </c>
      <c r="AP14" s="1">
        <f>IF(AL14="","",IF($BC$8&gt;0,SUMPRODUCT((Lançamentos!$C$3:$N$3&gt;=$AD$1)*(Lançamentos!$C$3:$N$3&lt;=$AD$3)*(Lançamentos!$C$24:$N$24&gt;0)*Orçado!$C13:$N13),AN14))</f>
        <v>1341.68</v>
      </c>
      <c r="AQ14" s="1">
        <f t="shared" si="0"/>
        <v>1341.6813416940001</v>
      </c>
      <c r="AS14" s="1">
        <f>IFERROR(MATCH(LARGE($AQ$6:$AQ$25,9),$AQ$6:$AQ$25,0),"")</f>
        <v>6</v>
      </c>
      <c r="AT14" s="1" t="str">
        <f t="shared" si="1"/>
        <v>IPTU</v>
      </c>
      <c r="AU14" s="1">
        <f t="shared" si="2"/>
        <v>2569.27</v>
      </c>
      <c r="AV14" s="1">
        <f t="shared" si="3"/>
        <v>2569.27</v>
      </c>
      <c r="BC14" s="1" t="str">
        <f>IF($U$3="Ano","Ano "&amp;Cadastro!$G$2,$U$3&amp;"/"&amp;Cadastro!$G$2)</f>
        <v>Ano 2026</v>
      </c>
      <c r="BE14" s="1" t="str">
        <f t="shared" si="7"/>
        <v>Set</v>
      </c>
      <c r="BF14" s="6" t="str">
        <f>IF(Faturamento!K17=0,"",Faturamento!K16)</f>
        <v/>
      </c>
      <c r="BG14" s="5">
        <f>IF(Lançamentos!K24=0,"",Lançamentos!K23)</f>
        <v>3379.49</v>
      </c>
      <c r="BH14" s="1" t="str">
        <f t="shared" si="8"/>
        <v/>
      </c>
    </row>
    <row r="15" spans="1:60" ht="18" customHeight="1" x14ac:dyDescent="0.3">
      <c r="A15" s="4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7"/>
      <c r="S15" s="8"/>
      <c r="T15" s="8"/>
      <c r="U15" s="8"/>
      <c r="V15" s="8"/>
      <c r="W15" s="8"/>
      <c r="X15" s="8"/>
      <c r="Y15" s="8"/>
      <c r="Z15" s="8"/>
      <c r="AA15" s="9"/>
      <c r="AB15" s="4"/>
      <c r="AE15" s="1" t="s">
        <v>23</v>
      </c>
      <c r="AF15" s="5">
        <f>Orçado!L23</f>
        <v>0</v>
      </c>
      <c r="AG15" s="5" t="str">
        <f>IF(AI15=0,"",IF(AND($U$3&lt;&gt;"Ano",10=$AD$1),"",Lançamentos!L23))</f>
        <v/>
      </c>
      <c r="AH15" s="1" t="str">
        <f>IF(AND($U$3&lt;&gt;"Ano",10=$AD$1,AI15=1),Lançamentos!L23,"")</f>
        <v/>
      </c>
      <c r="AI15" s="1">
        <f>IF(Lançamentos!L24&gt;0,1,0)</f>
        <v>0</v>
      </c>
      <c r="AL15" s="1" t="str">
        <f>Lançamentos!A14</f>
        <v>Funcionários</v>
      </c>
      <c r="AM15" s="1" t="str">
        <f>Lançamentos!B14</f>
        <v>Pessoal</v>
      </c>
      <c r="AN15" s="1">
        <f>IF(AL15="","",SUMPRODUCT((Lançamentos!$C$3:$N$3&gt;=$AD$1)*(Lançamentos!$C$3:$N$3&lt;=$AD$3)*Orçado!$C14:$N14))</f>
        <v>113702.48</v>
      </c>
      <c r="AO15" s="1">
        <f>IF(AL15="","",SUMPRODUCT((Lançamentos!$C$3:$N$3&gt;=$AD$1)*(Lançamentos!$C$3:$N$3&lt;=$AD$3)*Lançamentos!$C14:$N14))</f>
        <v>113702.48</v>
      </c>
      <c r="AP15" s="1">
        <f>IF(AL15="","",IF($BC$8&gt;0,SUMPRODUCT((Lançamentos!$C$3:$N$3&gt;=$AD$1)*(Lançamentos!$C$3:$N$3&lt;=$AD$3)*(Lançamentos!$C$24:$N$24&gt;0)*Orçado!$C14:$N14),AN15))</f>
        <v>113702.48</v>
      </c>
      <c r="AQ15" s="1">
        <f t="shared" si="0"/>
        <v>113702.593702495</v>
      </c>
      <c r="AS15" s="1">
        <f>IFERROR(MATCH(LARGE($AQ$6:$AQ$25,10),$AQ$6:$AQ$25,0),"")</f>
        <v>3</v>
      </c>
      <c r="AT15" s="1" t="str">
        <f t="shared" si="1"/>
        <v>Seguro galpão</v>
      </c>
      <c r="AU15" s="1">
        <f t="shared" si="2"/>
        <v>2569.27</v>
      </c>
      <c r="AV15" s="1">
        <f t="shared" si="3"/>
        <v>2569.27</v>
      </c>
      <c r="BC15" s="1">
        <f>IF(BC8&gt;0,BC8,BC7)</f>
        <v>315259.37333333329</v>
      </c>
      <c r="BE15" s="1" t="str">
        <f t="shared" si="7"/>
        <v>Out</v>
      </c>
      <c r="BF15" s="1" t="str">
        <f>IF(Faturamento!L17=0,"",Faturamento!L16)</f>
        <v/>
      </c>
      <c r="BG15" s="5" t="str">
        <f>IF(Lançamentos!L24=0,"",Lançamentos!L23)</f>
        <v/>
      </c>
      <c r="BH15" s="1" t="str">
        <f t="shared" si="8"/>
        <v/>
      </c>
    </row>
    <row r="16" spans="1:60" ht="18" customHeight="1" x14ac:dyDescent="0.3">
      <c r="A16" s="4"/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  <c r="R16" s="7"/>
      <c r="S16" s="8"/>
      <c r="T16" s="8"/>
      <c r="U16" s="8"/>
      <c r="V16" s="8"/>
      <c r="W16" s="8"/>
      <c r="X16" s="8"/>
      <c r="Y16" s="8"/>
      <c r="Z16" s="8"/>
      <c r="AA16" s="9"/>
      <c r="AB16" s="4"/>
      <c r="AE16" s="1" t="s">
        <v>24</v>
      </c>
      <c r="AF16" s="5">
        <f>Orçado!M23</f>
        <v>0</v>
      </c>
      <c r="AG16" s="5" t="str">
        <f>IF(AI16=0,"",IF(AND($U$3&lt;&gt;"Ano",11=$AD$1),"",Lançamentos!M23))</f>
        <v/>
      </c>
      <c r="AH16" s="1" t="str">
        <f>IF(AND($U$3&lt;&gt;"Ano",11=$AD$1,AI16=1),Lançamentos!M23,"")</f>
        <v/>
      </c>
      <c r="AI16" s="1">
        <f>IF(Lançamentos!M24&gt;0,1,0)</f>
        <v>0</v>
      </c>
      <c r="AL16" s="1" t="str">
        <f>""</f>
        <v/>
      </c>
      <c r="AM16" s="1" t="str">
        <f>""</f>
        <v/>
      </c>
      <c r="AN16" s="1" t="str">
        <f>""</f>
        <v/>
      </c>
      <c r="AO16" s="1" t="str">
        <f>""</f>
        <v/>
      </c>
      <c r="AP16" s="1" t="str">
        <f>""</f>
        <v/>
      </c>
      <c r="AQ16" s="1" t="str">
        <f t="shared" si="0"/>
        <v/>
      </c>
      <c r="BE16" s="1" t="str">
        <f t="shared" si="7"/>
        <v>Nov</v>
      </c>
      <c r="BF16" s="1" t="str">
        <f>IF(Faturamento!M17=0,"",Faturamento!M16)</f>
        <v/>
      </c>
      <c r="BG16" s="5" t="str">
        <f>IF(Lançamentos!M24=0,"",Lançamentos!M23)</f>
        <v/>
      </c>
      <c r="BH16" s="1" t="str">
        <f t="shared" si="8"/>
        <v/>
      </c>
    </row>
    <row r="17" spans="1:60" ht="18" customHeight="1" x14ac:dyDescent="0.3">
      <c r="A17" s="4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  <c r="R17" s="7"/>
      <c r="S17" s="8"/>
      <c r="T17" s="8"/>
      <c r="U17" s="8"/>
      <c r="V17" s="8"/>
      <c r="W17" s="8"/>
      <c r="X17" s="8"/>
      <c r="Y17" s="8"/>
      <c r="Z17" s="8"/>
      <c r="AA17" s="9"/>
      <c r="AB17" s="4"/>
      <c r="AE17" s="1" t="s">
        <v>25</v>
      </c>
      <c r="AF17" s="5">
        <f>Orçado!N23</f>
        <v>0</v>
      </c>
      <c r="AG17" s="5" t="str">
        <f>IF(AI17=0,"",IF(AND($U$3&lt;&gt;"Ano",12=$AD$1),"",Lançamentos!N23))</f>
        <v/>
      </c>
      <c r="AH17" s="1" t="str">
        <f>IF(AND($U$3&lt;&gt;"Ano",12=$AD$1,AI17=1),Lançamentos!N23,"")</f>
        <v/>
      </c>
      <c r="AI17" s="1">
        <f>IF(Lançamentos!N24&gt;0,1,0)</f>
        <v>0</v>
      </c>
      <c r="AL17" s="1" t="str">
        <f>""</f>
        <v/>
      </c>
      <c r="AM17" s="1" t="str">
        <f>""</f>
        <v/>
      </c>
      <c r="AN17" s="1" t="str">
        <f>""</f>
        <v/>
      </c>
      <c r="AO17" s="1" t="str">
        <f>""</f>
        <v/>
      </c>
      <c r="AP17" s="1" t="str">
        <f>""</f>
        <v/>
      </c>
      <c r="AQ17" s="1" t="str">
        <f t="shared" si="0"/>
        <v/>
      </c>
      <c r="BC17" s="1">
        <f>SUMPRODUCT((Faturamento!$C$3:$N$3&gt;=$AD$1)*(Faturamento!$C$3:$N$3&lt;=$AD$3)*Faturamento!$C$16:$N$16)</f>
        <v>0</v>
      </c>
      <c r="BE17" s="1" t="str">
        <f t="shared" si="7"/>
        <v>Dez</v>
      </c>
      <c r="BF17" s="1" t="str">
        <f>IF(Faturamento!N17=0,"",Faturamento!N16)</f>
        <v/>
      </c>
      <c r="BG17" s="5" t="str">
        <f>IF(Lançamentos!N24=0,"",Lançamentos!N23)</f>
        <v/>
      </c>
      <c r="BH17" s="1" t="str">
        <f t="shared" si="8"/>
        <v/>
      </c>
    </row>
    <row r="18" spans="1:60" ht="18" customHeight="1" x14ac:dyDescent="0.3">
      <c r="A18" s="4"/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7"/>
      <c r="S18" s="8"/>
      <c r="T18" s="8"/>
      <c r="U18" s="8"/>
      <c r="V18" s="8"/>
      <c r="W18" s="8"/>
      <c r="X18" s="8"/>
      <c r="Y18" s="8"/>
      <c r="Z18" s="8"/>
      <c r="AA18" s="9"/>
      <c r="AB18" s="4"/>
      <c r="AL18" s="1" t="str">
        <f>""</f>
        <v/>
      </c>
      <c r="AM18" s="1" t="str">
        <f>""</f>
        <v/>
      </c>
      <c r="AN18" s="1" t="str">
        <f>""</f>
        <v/>
      </c>
      <c r="AO18" s="1" t="str">
        <f>""</f>
        <v/>
      </c>
      <c r="AP18" s="1" t="str">
        <f>""</f>
        <v/>
      </c>
      <c r="AQ18" s="1" t="str">
        <f t="shared" si="0"/>
        <v/>
      </c>
      <c r="BC18" s="1">
        <f>SUM(Faturamento!$C$16:$N$16)</f>
        <v>0</v>
      </c>
    </row>
    <row r="19" spans="1:60" ht="18" customHeight="1" x14ac:dyDescent="0.3">
      <c r="A19" s="4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  <c r="R19" s="7"/>
      <c r="S19" s="8"/>
      <c r="T19" s="8"/>
      <c r="U19" s="8"/>
      <c r="V19" s="8"/>
      <c r="W19" s="8"/>
      <c r="X19" s="8"/>
      <c r="Y19" s="8"/>
      <c r="Z19" s="8"/>
      <c r="AA19" s="9"/>
      <c r="AB19" s="4"/>
      <c r="AL19" s="1" t="str">
        <f>Lançamentos!A15</f>
        <v>Combustivel</v>
      </c>
      <c r="AM19" s="1" t="str">
        <f>Lançamentos!B15</f>
        <v>Veiculo</v>
      </c>
      <c r="AN19" s="1">
        <f>IF(AL19="","",SUMPRODUCT((Lançamentos!$C$3:$N$3&gt;=$AD$1)*(Lançamentos!$C$3:$N$3&lt;=$AD$3)*Orçado!$C15:$N15))</f>
        <v>30733.02</v>
      </c>
      <c r="AO19" s="1">
        <f>IF(AL19="","",SUMPRODUCT((Lançamentos!$C$3:$N$3&gt;=$AD$1)*(Lançamentos!$C$3:$N$3&lt;=$AD$3)*Lançamentos!$C15:$N15))</f>
        <v>30733.02</v>
      </c>
      <c r="AP19" s="1">
        <f>IF(AL19="","",IF($BC$8&gt;0,SUMPRODUCT((Lançamentos!$C$3:$N$3&gt;=$AD$1)*(Lançamentos!$C$3:$N$3&lt;=$AD$3)*(Lançamentos!$C$24:$N$24&gt;0)*Orçado!$C15:$N15),AN19))</f>
        <v>30733.02</v>
      </c>
      <c r="AQ19" s="1">
        <f t="shared" si="0"/>
        <v>30733.050733039003</v>
      </c>
      <c r="BC19" s="1">
        <f>SUM(Faturamento!$C$17:$N$17)</f>
        <v>0</v>
      </c>
    </row>
    <row r="20" spans="1:60" ht="18" customHeight="1" x14ac:dyDescent="0.3">
      <c r="A20" s="4"/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7"/>
      <c r="S20" s="8"/>
      <c r="T20" s="8"/>
      <c r="U20" s="8"/>
      <c r="V20" s="8"/>
      <c r="W20" s="8"/>
      <c r="X20" s="8"/>
      <c r="Y20" s="8"/>
      <c r="Z20" s="8"/>
      <c r="AA20" s="9"/>
      <c r="AB20" s="4"/>
      <c r="AL20" s="1" t="str">
        <f>Lançamentos!A16</f>
        <v>Manutenção Veicular (peças, servico, revisao, licenciamento)</v>
      </c>
      <c r="AM20" s="1" t="str">
        <f>Lançamentos!B16</f>
        <v>Manutenção</v>
      </c>
      <c r="AN20" s="1">
        <f>IF(AL20="","",SUMPRODUCT((Lançamentos!$C$3:$N$3&gt;=$AD$1)*(Lançamentos!$C$3:$N$3&lt;=$AD$3)*Orçado!$C16:$N16))</f>
        <v>9533</v>
      </c>
      <c r="AO20" s="1">
        <f>IF(AL20="","",SUMPRODUCT((Lançamentos!$C$3:$N$3&gt;=$AD$1)*(Lançamentos!$C$3:$N$3&lt;=$AD$3)*Lançamentos!$C16:$N16))</f>
        <v>10623</v>
      </c>
      <c r="AP20" s="1">
        <f>IF(AL20="","",IF($BC$8&gt;0,SUMPRODUCT((Lançamentos!$C$3:$N$3&gt;=$AD$1)*(Lançamentos!$C$3:$N$3&lt;=$AD$3)*(Lançamentos!$C$24:$N$24&gt;0)*Orçado!$C16:$N16),AN20))</f>
        <v>9533</v>
      </c>
      <c r="AQ20" s="1">
        <f t="shared" si="0"/>
        <v>10623.00953302</v>
      </c>
      <c r="BC20" s="1">
        <f>SUM(Lançamentos!$C$23:$N$23)</f>
        <v>319728.86333333328</v>
      </c>
    </row>
    <row r="21" spans="1:60" ht="18" customHeight="1" x14ac:dyDescent="0.3">
      <c r="A21" s="4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  <c r="R21" s="7"/>
      <c r="S21" s="8"/>
      <c r="T21" s="8"/>
      <c r="U21" s="8"/>
      <c r="V21" s="8"/>
      <c r="W21" s="8"/>
      <c r="X21" s="8"/>
      <c r="Y21" s="8"/>
      <c r="Z21" s="8"/>
      <c r="AA21" s="9"/>
      <c r="AB21" s="4"/>
      <c r="AL21" s="1" t="str">
        <f>Lançamentos!A17</f>
        <v>Tubete</v>
      </c>
      <c r="AM21" s="1" t="str">
        <f>Lançamentos!B17</f>
        <v>Insumo</v>
      </c>
      <c r="AN21" s="1">
        <f>IF(AL21="","",SUMPRODUCT((Lançamentos!$C$3:$N$3&gt;=$AD$1)*(Lançamentos!$C$3:$N$3&lt;=$AD$3)*Orçado!$C17:$N17))</f>
        <v>112281.2</v>
      </c>
      <c r="AO21" s="1">
        <f>IF(AL21="","",SUMPRODUCT((Lançamentos!$C$3:$N$3&gt;=$AD$1)*(Lançamentos!$C$3:$N$3&lt;=$AD$3)*Lançamentos!$C17:$N17))</f>
        <v>112281.2</v>
      </c>
      <c r="AP21" s="1">
        <f>IF(AL21="","",IF($BC$8&gt;0,SUMPRODUCT((Lançamentos!$C$3:$N$3&gt;=$AD$1)*(Lançamentos!$C$3:$N$3&lt;=$AD$3)*(Lançamentos!$C$24:$N$24&gt;0)*Orçado!$C17:$N17),AN21))</f>
        <v>112281.2</v>
      </c>
      <c r="AQ21" s="1">
        <f t="shared" si="0"/>
        <v>112281.31228122099</v>
      </c>
    </row>
    <row r="22" spans="1:60" ht="18" customHeight="1" x14ac:dyDescent="0.3">
      <c r="A22" s="4"/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7"/>
      <c r="S22" s="8"/>
      <c r="T22" s="8"/>
      <c r="U22" s="8"/>
      <c r="V22" s="8"/>
      <c r="W22" s="8"/>
      <c r="X22" s="8"/>
      <c r="Y22" s="8"/>
      <c r="Z22" s="8"/>
      <c r="AA22" s="9"/>
      <c r="AB22" s="4"/>
      <c r="AL22" s="1" t="str">
        <f>Lançamentos!A18</f>
        <v>Manutenção Predial</v>
      </c>
      <c r="AM22" s="1" t="str">
        <f>Lançamentos!B18</f>
        <v>Manutenção</v>
      </c>
      <c r="AN22" s="1">
        <f>IF(AL22="","",SUMPRODUCT((Lançamentos!$C$3:$N$3&gt;=$AD$1)*(Lançamentos!$C$3:$N$3&lt;=$AD$3)*Orçado!$C18:$N18))</f>
        <v>4198</v>
      </c>
      <c r="AO22" s="1">
        <f>IF(AL22="","",SUMPRODUCT((Lançamentos!$C$3:$N$3&gt;=$AD$1)*(Lançamentos!$C$3:$N$3&lt;=$AD$3)*Lançamentos!$C18:$N18))</f>
        <v>4198</v>
      </c>
      <c r="AP22" s="1">
        <f>IF(AL22="","",IF($BC$8&gt;0,SUMPRODUCT((Lançamentos!$C$3:$N$3&gt;=$AD$1)*(Lançamentos!$C$3:$N$3&lt;=$AD$3)*(Lançamentos!$C$24:$N$24&gt;0)*Orçado!$C18:$N18),AN22))</f>
        <v>4198</v>
      </c>
      <c r="AQ22" s="1">
        <f t="shared" si="0"/>
        <v>4198.0041980219994</v>
      </c>
    </row>
    <row r="23" spans="1:60" ht="18" customHeight="1" x14ac:dyDescent="0.3">
      <c r="A23" s="4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  <c r="R23" s="7"/>
      <c r="S23" s="8"/>
      <c r="T23" s="8"/>
      <c r="U23" s="8"/>
      <c r="V23" s="8"/>
      <c r="W23" s="8"/>
      <c r="X23" s="8"/>
      <c r="Y23" s="8"/>
      <c r="Z23" s="8"/>
      <c r="AA23" s="9"/>
      <c r="AB23" s="4"/>
      <c r="AL23" s="1" t="str">
        <f>Lançamentos!A19</f>
        <v>Seguro do Caminhão</v>
      </c>
      <c r="AM23" s="1" t="str">
        <f>Lançamentos!B19</f>
        <v>Veiculo</v>
      </c>
      <c r="AN23" s="1">
        <f>IF(AL23="","",SUMPRODUCT((Lançamentos!$C$3:$N$3&gt;=$AD$1)*(Lançamentos!$C$3:$N$3&lt;=$AD$3)*Orçado!$C19:$N19))</f>
        <v>3714.4933333333279</v>
      </c>
      <c r="AO23" s="1">
        <f>IF(AL23="","",SUMPRODUCT((Lançamentos!$C$3:$N$3&gt;=$AD$1)*(Lançamentos!$C$3:$N$3&lt;=$AD$3)*Lançamentos!$C19:$N19))</f>
        <v>3714.4933333333279</v>
      </c>
      <c r="AP23" s="1">
        <f>IF(AL23="","",IF($BC$8&gt;0,SUMPRODUCT((Lançamentos!$C$3:$N$3&gt;=$AD$1)*(Lançamentos!$C$3:$N$3&lt;=$AD$3)*(Lançamentos!$C$24:$N$24&gt;0)*Orçado!$C19:$N19),AN23))</f>
        <v>3714.4933333333279</v>
      </c>
      <c r="AQ23" s="1">
        <f t="shared" si="0"/>
        <v>3714.4970478496616</v>
      </c>
    </row>
    <row r="24" spans="1:60" ht="18" customHeight="1" x14ac:dyDescent="0.3">
      <c r="A24" s="4"/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  <c r="R24" s="7"/>
      <c r="S24" s="8"/>
      <c r="T24" s="8"/>
      <c r="U24" s="8"/>
      <c r="V24" s="8"/>
      <c r="W24" s="8"/>
      <c r="X24" s="8"/>
      <c r="Y24" s="8"/>
      <c r="Z24" s="8"/>
      <c r="AA24" s="9"/>
      <c r="AB24" s="4"/>
      <c r="AL24" s="1" t="str">
        <f>Lançamentos!A20</f>
        <v>Parcela Caminhão</v>
      </c>
      <c r="AM24" s="1" t="str">
        <f>Lançamentos!B20</f>
        <v>Veiculo</v>
      </c>
      <c r="AN24" s="1">
        <f>IF(AL24="","",SUMPRODUCT((Lançamentos!$C$3:$N$3&gt;=$AD$1)*(Lançamentos!$C$3:$N$3&lt;=$AD$3)*Orçado!$C20:$N20))</f>
        <v>27035.919999999991</v>
      </c>
      <c r="AO24" s="1">
        <f>IF(AL24="","",SUMPRODUCT((Lançamentos!$C$3:$N$3&gt;=$AD$1)*(Lançamentos!$C$3:$N$3&lt;=$AD$3)*Lançamentos!$C20:$N20))</f>
        <v>30415.409999999989</v>
      </c>
      <c r="AP24" s="1">
        <f>IF(AL24="","",IF($BC$8&gt;0,SUMPRODUCT((Lançamentos!$C$3:$N$3&gt;=$AD$1)*(Lançamentos!$C$3:$N$3&lt;=$AD$3)*(Lançamentos!$C$24:$N$24&gt;0)*Orçado!$C20:$N20),AN24))</f>
        <v>27035.919999999991</v>
      </c>
      <c r="AQ24" s="1">
        <f t="shared" si="0"/>
        <v>30415.437035943989</v>
      </c>
    </row>
    <row r="25" spans="1:60" ht="18" customHeight="1" x14ac:dyDescent="0.3">
      <c r="A25" s="4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  <c r="R25" s="7"/>
      <c r="S25" s="8"/>
      <c r="T25" s="8"/>
      <c r="U25" s="8"/>
      <c r="V25" s="8"/>
      <c r="W25" s="8"/>
      <c r="X25" s="8"/>
      <c r="Y25" s="8"/>
      <c r="Z25" s="8"/>
      <c r="AA25" s="9"/>
      <c r="AB25" s="4"/>
      <c r="AL25" s="1" t="str">
        <f>Lançamentos!A21</f>
        <v>Despesas Pessoal (EPI, Farda e Ferramentas, Diaristas)</v>
      </c>
      <c r="AM25" s="1" t="str">
        <f>Lançamentos!B21</f>
        <v>Pessoal</v>
      </c>
      <c r="AN25" s="1">
        <f>IF(AL25="","",SUMPRODUCT((Lançamentos!$C$3:$N$3&gt;=$AD$1)*(Lançamentos!$C$3:$N$3&lt;=$AD$3)*Orçado!$C21:$N21))</f>
        <v>488</v>
      </c>
      <c r="AO25" s="1">
        <f>IF(AL25="","",SUMPRODUCT((Lançamentos!$C$3:$N$3&gt;=$AD$1)*(Lançamentos!$C$3:$N$3&lt;=$AD$3)*Lançamentos!$C21:$N21))</f>
        <v>488</v>
      </c>
      <c r="AP25" s="1">
        <f>IF(AL25="","",IF($BC$8&gt;0,SUMPRODUCT((Lançamentos!$C$3:$N$3&gt;=$AD$1)*(Lançamentos!$C$3:$N$3&lt;=$AD$3)*(Lançamentos!$C$24:$N$24&gt;0)*Orçado!$C21:$N21),AN25))</f>
        <v>488</v>
      </c>
      <c r="AQ25" s="1">
        <f t="shared" si="0"/>
        <v>488.00048802500004</v>
      </c>
    </row>
    <row r="26" spans="1:60" ht="18" customHeight="1" x14ac:dyDescent="0.3">
      <c r="A26" s="4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7"/>
      <c r="S26" s="8"/>
      <c r="T26" s="8"/>
      <c r="U26" s="8"/>
      <c r="V26" s="8"/>
      <c r="W26" s="8"/>
      <c r="X26" s="8"/>
      <c r="Y26" s="8"/>
      <c r="Z26" s="8"/>
      <c r="AA26" s="9"/>
      <c r="AB26" s="4"/>
    </row>
    <row r="27" spans="1:60" ht="18" customHeight="1" x14ac:dyDescent="0.3">
      <c r="A27" s="4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/>
      <c r="R27" s="7"/>
      <c r="S27" s="8"/>
      <c r="T27" s="8"/>
      <c r="U27" s="8"/>
      <c r="V27" s="8"/>
      <c r="W27" s="8"/>
      <c r="X27" s="8"/>
      <c r="Y27" s="8"/>
      <c r="Z27" s="8"/>
      <c r="AA27" s="9"/>
      <c r="AB27" s="4"/>
    </row>
    <row r="28" spans="1:60" ht="18" customHeight="1" x14ac:dyDescent="0.3">
      <c r="A28" s="4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2"/>
      <c r="R28" s="10"/>
      <c r="S28" s="11"/>
      <c r="T28" s="11"/>
      <c r="U28" s="11"/>
      <c r="V28" s="11"/>
      <c r="W28" s="11"/>
      <c r="X28" s="11"/>
      <c r="Y28" s="11"/>
      <c r="Z28" s="11"/>
      <c r="AA28" s="12"/>
      <c r="AB28" s="4"/>
    </row>
    <row r="29" spans="1:60" ht="6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60" ht="18" customHeight="1" x14ac:dyDescent="0.3">
      <c r="A30" s="4"/>
      <c r="B30" s="71" t="str">
        <f>"Por despesa · "&amp;$BC$14</f>
        <v>Por despesa · Ano 2026</v>
      </c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 t="str">
        <f>"Detalhe · "&amp;$BC$14</f>
        <v>Detalhe · Ano 2026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4"/>
    </row>
    <row r="31" spans="1:60" ht="18" customHeight="1" x14ac:dyDescent="0.3">
      <c r="A31" s="4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  <c r="AB31" s="4"/>
    </row>
    <row r="32" spans="1:60" ht="18" customHeight="1" x14ac:dyDescent="0.3">
      <c r="A32" s="4"/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9"/>
      <c r="O32" s="72" t="s">
        <v>12</v>
      </c>
      <c r="P32" s="72"/>
      <c r="Q32" s="72"/>
      <c r="R32" s="72"/>
      <c r="S32" s="72"/>
      <c r="T32" s="73" t="s">
        <v>7</v>
      </c>
      <c r="U32" s="73"/>
      <c r="V32" s="73"/>
      <c r="W32" s="73" t="s">
        <v>8</v>
      </c>
      <c r="X32" s="73"/>
      <c r="Y32" s="73"/>
      <c r="Z32" s="73" t="s">
        <v>37</v>
      </c>
      <c r="AA32" s="73"/>
      <c r="AB32" s="4"/>
    </row>
    <row r="33" spans="1:28" ht="18" customHeight="1" x14ac:dyDescent="0.3">
      <c r="A33" s="4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9"/>
      <c r="O33" s="67" t="str">
        <f t="shared" ref="O33:O42" si="9">AT6</f>
        <v>Funcionários</v>
      </c>
      <c r="P33" s="67"/>
      <c r="Q33" s="67"/>
      <c r="R33" s="67"/>
      <c r="S33" s="67"/>
      <c r="T33" s="68">
        <f t="shared" ref="T33:T41" si="10">IF(AT6="","",AV6)</f>
        <v>113702.48</v>
      </c>
      <c r="U33" s="68"/>
      <c r="V33" s="68"/>
      <c r="W33" s="69">
        <f t="shared" ref="W33:W42" si="11">IF(AT6="","",AU6)</f>
        <v>113702.48</v>
      </c>
      <c r="X33" s="69"/>
      <c r="Y33" s="69"/>
      <c r="Z33" s="70">
        <f t="shared" ref="Z33:Z42" si="12">IF(OR(AT6="",N(AU6)=0,N(AV6)=0),"",AU6/AV6-1)</f>
        <v>0</v>
      </c>
      <c r="AA33" s="70"/>
      <c r="AB33" s="4"/>
    </row>
    <row r="34" spans="1:28" ht="18" customHeight="1" x14ac:dyDescent="0.3">
      <c r="A34" s="4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9"/>
      <c r="O34" s="67" t="str">
        <f t="shared" si="9"/>
        <v>Tubete</v>
      </c>
      <c r="P34" s="67"/>
      <c r="Q34" s="67"/>
      <c r="R34" s="67"/>
      <c r="S34" s="67"/>
      <c r="T34" s="68">
        <f t="shared" si="10"/>
        <v>112281.2</v>
      </c>
      <c r="U34" s="68"/>
      <c r="V34" s="68"/>
      <c r="W34" s="69">
        <f t="shared" si="11"/>
        <v>112281.2</v>
      </c>
      <c r="X34" s="69"/>
      <c r="Y34" s="69"/>
      <c r="Z34" s="70">
        <f t="shared" si="12"/>
        <v>0</v>
      </c>
      <c r="AA34" s="70"/>
      <c r="AB34" s="4"/>
    </row>
    <row r="35" spans="1:28" ht="18" customHeight="1" x14ac:dyDescent="0.3">
      <c r="A35" s="4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"/>
      <c r="O35" s="67" t="str">
        <f t="shared" si="9"/>
        <v>Combustivel</v>
      </c>
      <c r="P35" s="67"/>
      <c r="Q35" s="67"/>
      <c r="R35" s="67"/>
      <c r="S35" s="67"/>
      <c r="T35" s="68">
        <f t="shared" si="10"/>
        <v>30733.02</v>
      </c>
      <c r="U35" s="68"/>
      <c r="V35" s="68"/>
      <c r="W35" s="69">
        <f t="shared" si="11"/>
        <v>30733.02</v>
      </c>
      <c r="X35" s="69"/>
      <c r="Y35" s="69"/>
      <c r="Z35" s="70">
        <f t="shared" si="12"/>
        <v>0</v>
      </c>
      <c r="AA35" s="70"/>
      <c r="AB35" s="4"/>
    </row>
    <row r="36" spans="1:28" ht="18" customHeight="1" x14ac:dyDescent="0.3">
      <c r="A36" s="4"/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9"/>
      <c r="O36" s="67" t="str">
        <f t="shared" si="9"/>
        <v>Parcela Caminhão</v>
      </c>
      <c r="P36" s="67"/>
      <c r="Q36" s="67"/>
      <c r="R36" s="67"/>
      <c r="S36" s="67"/>
      <c r="T36" s="68">
        <f t="shared" si="10"/>
        <v>27035.919999999991</v>
      </c>
      <c r="U36" s="68"/>
      <c r="V36" s="68"/>
      <c r="W36" s="69">
        <f t="shared" si="11"/>
        <v>30415.409999999989</v>
      </c>
      <c r="X36" s="69"/>
      <c r="Y36" s="69"/>
      <c r="Z36" s="70">
        <f t="shared" si="12"/>
        <v>0.125</v>
      </c>
      <c r="AA36" s="70"/>
      <c r="AB36" s="4"/>
    </row>
    <row r="37" spans="1:28" ht="18" customHeight="1" x14ac:dyDescent="0.3">
      <c r="A37" s="4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9"/>
      <c r="O37" s="67" t="str">
        <f t="shared" si="9"/>
        <v>Manutenção Veicular (peças, servico, revisao, licenciamento)</v>
      </c>
      <c r="P37" s="67"/>
      <c r="Q37" s="67"/>
      <c r="R37" s="67"/>
      <c r="S37" s="67"/>
      <c r="T37" s="68">
        <f t="shared" si="10"/>
        <v>9533</v>
      </c>
      <c r="U37" s="68"/>
      <c r="V37" s="68"/>
      <c r="W37" s="69">
        <f t="shared" si="11"/>
        <v>10623</v>
      </c>
      <c r="X37" s="69"/>
      <c r="Y37" s="69"/>
      <c r="Z37" s="70">
        <f t="shared" si="12"/>
        <v>0.11433966222595204</v>
      </c>
      <c r="AA37" s="70"/>
      <c r="AB37" s="4"/>
    </row>
    <row r="38" spans="1:28" ht="18" customHeight="1" x14ac:dyDescent="0.3">
      <c r="A38" s="4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9"/>
      <c r="O38" s="67" t="str">
        <f t="shared" si="9"/>
        <v>Manutenção Predial</v>
      </c>
      <c r="P38" s="67"/>
      <c r="Q38" s="67"/>
      <c r="R38" s="67"/>
      <c r="S38" s="67"/>
      <c r="T38" s="68">
        <f t="shared" si="10"/>
        <v>4198</v>
      </c>
      <c r="U38" s="68"/>
      <c r="V38" s="68"/>
      <c r="W38" s="69">
        <f t="shared" si="11"/>
        <v>4198</v>
      </c>
      <c r="X38" s="69"/>
      <c r="Y38" s="69"/>
      <c r="Z38" s="70">
        <f t="shared" si="12"/>
        <v>0</v>
      </c>
      <c r="AA38" s="70"/>
      <c r="AB38" s="4"/>
    </row>
    <row r="39" spans="1:28" ht="18" customHeight="1" x14ac:dyDescent="0.3">
      <c r="A39" s="4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9"/>
      <c r="O39" s="67" t="str">
        <f t="shared" si="9"/>
        <v>Seguro do Caminhão</v>
      </c>
      <c r="P39" s="67"/>
      <c r="Q39" s="67"/>
      <c r="R39" s="67"/>
      <c r="S39" s="67"/>
      <c r="T39" s="68">
        <f t="shared" si="10"/>
        <v>3714.4933333333279</v>
      </c>
      <c r="U39" s="68"/>
      <c r="V39" s="68"/>
      <c r="W39" s="69">
        <f t="shared" si="11"/>
        <v>3714.4933333333279</v>
      </c>
      <c r="X39" s="69"/>
      <c r="Y39" s="69"/>
      <c r="Z39" s="70">
        <f t="shared" si="12"/>
        <v>0</v>
      </c>
      <c r="AA39" s="70"/>
      <c r="AB39" s="4"/>
    </row>
    <row r="40" spans="1:28" ht="18" customHeight="1" x14ac:dyDescent="0.3">
      <c r="A40" s="4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9"/>
      <c r="O40" s="67" t="str">
        <f t="shared" si="9"/>
        <v>Segurança Emive</v>
      </c>
      <c r="P40" s="67"/>
      <c r="Q40" s="67"/>
      <c r="R40" s="67"/>
      <c r="S40" s="67"/>
      <c r="T40" s="68">
        <f t="shared" si="10"/>
        <v>3072</v>
      </c>
      <c r="U40" s="68"/>
      <c r="V40" s="68"/>
      <c r="W40" s="69">
        <f t="shared" si="11"/>
        <v>3072</v>
      </c>
      <c r="X40" s="69"/>
      <c r="Y40" s="69"/>
      <c r="Z40" s="70">
        <f t="shared" si="12"/>
        <v>0</v>
      </c>
      <c r="AA40" s="70"/>
      <c r="AB40" s="4"/>
    </row>
    <row r="41" spans="1:28" ht="18" customHeight="1" x14ac:dyDescent="0.3">
      <c r="A41" s="4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9"/>
      <c r="O41" s="67" t="str">
        <f t="shared" si="9"/>
        <v>IPTU</v>
      </c>
      <c r="P41" s="67"/>
      <c r="Q41" s="67"/>
      <c r="R41" s="67"/>
      <c r="S41" s="67"/>
      <c r="T41" s="68">
        <f t="shared" si="10"/>
        <v>2569.27</v>
      </c>
      <c r="U41" s="68"/>
      <c r="V41" s="68"/>
      <c r="W41" s="69">
        <f t="shared" si="11"/>
        <v>2569.27</v>
      </c>
      <c r="X41" s="69"/>
      <c r="Y41" s="69"/>
      <c r="Z41" s="70">
        <f t="shared" si="12"/>
        <v>0</v>
      </c>
      <c r="AA41" s="70"/>
      <c r="AB41" s="4"/>
    </row>
    <row r="42" spans="1:28" ht="18" customHeight="1" x14ac:dyDescent="0.3">
      <c r="A42" s="4"/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9"/>
      <c r="O42" s="67" t="str">
        <f t="shared" si="9"/>
        <v>Seguro galpão</v>
      </c>
      <c r="P42" s="67"/>
      <c r="Q42" s="67"/>
      <c r="R42" s="67"/>
      <c r="S42" s="67"/>
      <c r="T42" s="68">
        <f>IF(AT15="","",AV15)</f>
        <v>2569.27</v>
      </c>
      <c r="U42" s="68"/>
      <c r="V42" s="68"/>
      <c r="W42" s="69">
        <f t="shared" si="11"/>
        <v>2569.27</v>
      </c>
      <c r="X42" s="69"/>
      <c r="Y42" s="69"/>
      <c r="Z42" s="70">
        <f t="shared" si="12"/>
        <v>0</v>
      </c>
      <c r="AA42" s="70"/>
      <c r="AB42" s="4"/>
    </row>
    <row r="43" spans="1:28" ht="18" customHeight="1" x14ac:dyDescent="0.3">
      <c r="A43" s="4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9"/>
      <c r="O43" s="7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  <c r="AB43" s="4"/>
    </row>
    <row r="44" spans="1:28" ht="18" customHeight="1" x14ac:dyDescent="0.3">
      <c r="A44" s="4"/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9"/>
      <c r="O44" s="63" t="s">
        <v>38</v>
      </c>
      <c r="P44" s="63"/>
      <c r="Q44" s="63"/>
      <c r="R44" s="63"/>
      <c r="S44" s="63"/>
      <c r="T44" s="64">
        <f>BC15</f>
        <v>315259.37333333329</v>
      </c>
      <c r="U44" s="64"/>
      <c r="V44" s="64"/>
      <c r="W44" s="64">
        <f>BC6</f>
        <v>319728.86333333328</v>
      </c>
      <c r="X44" s="64"/>
      <c r="Y44" s="64"/>
      <c r="Z44" s="65">
        <f>IF(OR(BC6=0,BC15=0),"",BC6/BC15-1)</f>
        <v>1.4177183544910044E-2</v>
      </c>
      <c r="AA44" s="65"/>
      <c r="AB44" s="4"/>
    </row>
    <row r="45" spans="1:28" ht="18" customHeight="1" x14ac:dyDescent="0.3">
      <c r="A45" s="4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2"/>
      <c r="O45" s="10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4"/>
    </row>
    <row r="46" spans="1:28" ht="6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8" customHeight="1" x14ac:dyDescent="0.3">
      <c r="A47" s="4"/>
      <c r="B47" s="56" t="str">
        <f>"Receitas x Despesas · "&amp;$BC$14</f>
        <v>Receitas x Despesas · Ano 2026</v>
      </c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4"/>
    </row>
    <row r="48" spans="1:28" ht="6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8" customHeight="1" x14ac:dyDescent="0.3">
      <c r="A49" s="4"/>
      <c r="B49" s="66" t="s">
        <v>39</v>
      </c>
      <c r="C49" s="66"/>
      <c r="D49" s="66"/>
      <c r="E49" s="66"/>
      <c r="F49" s="66" t="s">
        <v>40</v>
      </c>
      <c r="G49" s="66"/>
      <c r="H49" s="66"/>
      <c r="I49" s="66"/>
      <c r="J49" s="66" t="s">
        <v>41</v>
      </c>
      <c r="K49" s="66"/>
      <c r="L49" s="66"/>
      <c r="M49" s="66"/>
      <c r="N49" s="66" t="s">
        <v>42</v>
      </c>
      <c r="O49" s="66"/>
      <c r="P49" s="66"/>
      <c r="Q49" s="66"/>
      <c r="R49" s="66" t="s">
        <v>43</v>
      </c>
      <c r="S49" s="66"/>
      <c r="T49" s="66"/>
      <c r="U49" s="66"/>
      <c r="V49" s="66"/>
      <c r="W49" s="66" t="s">
        <v>44</v>
      </c>
      <c r="X49" s="66"/>
      <c r="Y49" s="66"/>
      <c r="Z49" s="66"/>
      <c r="AA49" s="66"/>
      <c r="AB49" s="52"/>
    </row>
    <row r="50" spans="1:28" ht="19.5" customHeight="1" x14ac:dyDescent="0.3">
      <c r="A50" s="4"/>
      <c r="B50" s="57">
        <f>BC17</f>
        <v>0</v>
      </c>
      <c r="C50" s="57"/>
      <c r="D50" s="57"/>
      <c r="E50" s="57"/>
      <c r="F50" s="57">
        <f>BC6</f>
        <v>319728.86333333328</v>
      </c>
      <c r="G50" s="57"/>
      <c r="H50" s="57"/>
      <c r="I50" s="57"/>
      <c r="J50" s="57">
        <f>BC17-BC6</f>
        <v>-319728.86333333328</v>
      </c>
      <c r="K50" s="57"/>
      <c r="L50" s="57"/>
      <c r="M50" s="57"/>
      <c r="N50" s="58">
        <f>IF(BC17=0,0,(BC17-BC6)/BC17)</f>
        <v>0</v>
      </c>
      <c r="O50" s="58"/>
      <c r="P50" s="58"/>
      <c r="Q50" s="58"/>
      <c r="R50" s="57">
        <f>IF(BC19=0,0,BC18/BC19)</f>
        <v>0</v>
      </c>
      <c r="S50" s="57"/>
      <c r="T50" s="57"/>
      <c r="U50" s="57"/>
      <c r="V50" s="57"/>
      <c r="W50" s="57">
        <f>BC20/12</f>
        <v>26644.07194444444</v>
      </c>
      <c r="X50" s="57"/>
      <c r="Y50" s="57"/>
      <c r="Z50" s="57"/>
      <c r="AA50" s="57"/>
      <c r="AB50" s="52"/>
    </row>
    <row r="51" spans="1:28" ht="19.5" customHeight="1" x14ac:dyDescent="0.3">
      <c r="A51" s="4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8"/>
      <c r="O51" s="58"/>
      <c r="P51" s="58"/>
      <c r="Q51" s="58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2"/>
    </row>
    <row r="52" spans="1:28" ht="18" customHeight="1" x14ac:dyDescent="0.3">
      <c r="A52" s="4"/>
      <c r="B52" s="59" t="s">
        <v>45</v>
      </c>
      <c r="C52" s="59"/>
      <c r="D52" s="60">
        <f>BC18</f>
        <v>0</v>
      </c>
      <c r="E52" s="60"/>
      <c r="F52" s="59" t="s">
        <v>7</v>
      </c>
      <c r="G52" s="59"/>
      <c r="H52" s="60">
        <f>BC7</f>
        <v>315259.37333333329</v>
      </c>
      <c r="I52" s="60"/>
      <c r="J52" s="59" t="s">
        <v>46</v>
      </c>
      <c r="K52" s="59"/>
      <c r="L52" s="61">
        <f>IF(BC17=0,0,(BC17-BC6)/BC17)</f>
        <v>0</v>
      </c>
      <c r="M52" s="61"/>
      <c r="N52" s="59" t="s">
        <v>13</v>
      </c>
      <c r="O52" s="59"/>
      <c r="P52" s="60">
        <f>BC17-BC6</f>
        <v>-319728.86333333328</v>
      </c>
      <c r="Q52" s="60"/>
      <c r="R52" s="59" t="s">
        <v>47</v>
      </c>
      <c r="S52" s="59"/>
      <c r="T52" s="62">
        <f>BC19</f>
        <v>0</v>
      </c>
      <c r="U52" s="62"/>
      <c r="V52" s="62"/>
      <c r="W52" s="59" t="s">
        <v>48</v>
      </c>
      <c r="X52" s="59"/>
      <c r="Y52" s="60">
        <f>BC20</f>
        <v>319728.86333333328</v>
      </c>
      <c r="Z52" s="60"/>
      <c r="AA52" s="60"/>
      <c r="AB52" s="52"/>
    </row>
    <row r="53" spans="1:28" ht="6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2"/>
    </row>
    <row r="54" spans="1:28" ht="18" customHeight="1" x14ac:dyDescent="0.3">
      <c r="A54" s="4"/>
      <c r="B54" s="56" t="s">
        <v>49</v>
      </c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2"/>
    </row>
    <row r="55" spans="1:28" ht="18" customHeight="1" x14ac:dyDescent="0.3">
      <c r="A55" s="4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52"/>
    </row>
    <row r="56" spans="1:28" ht="18" customHeight="1" x14ac:dyDescent="0.3">
      <c r="A56" s="4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52"/>
    </row>
    <row r="57" spans="1:28" ht="18" customHeight="1" x14ac:dyDescent="0.3">
      <c r="A57" s="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52"/>
    </row>
    <row r="58" spans="1:28" ht="18" customHeight="1" x14ac:dyDescent="0.3">
      <c r="A58" s="4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52"/>
    </row>
    <row r="59" spans="1:28" ht="18" customHeight="1" x14ac:dyDescent="0.3">
      <c r="A59" s="4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52"/>
    </row>
    <row r="60" spans="1:28" ht="18" customHeight="1" x14ac:dyDescent="0.3">
      <c r="A60" s="4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52"/>
    </row>
    <row r="61" spans="1:28" ht="18" customHeight="1" x14ac:dyDescent="0.3">
      <c r="A61" s="4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52"/>
    </row>
    <row r="62" spans="1:28" ht="18" customHeight="1" x14ac:dyDescent="0.3">
      <c r="A62" s="4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52"/>
    </row>
    <row r="63" spans="1:28" ht="18" customHeight="1" x14ac:dyDescent="0.3">
      <c r="A63" s="4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52"/>
    </row>
    <row r="64" spans="1:28" ht="18" customHeight="1" x14ac:dyDescent="0.3">
      <c r="A64" s="4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52"/>
    </row>
    <row r="65" spans="1:28" ht="18" customHeight="1" x14ac:dyDescent="0.3">
      <c r="A65" s="4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52"/>
    </row>
    <row r="66" spans="1:28" ht="18" customHeight="1" x14ac:dyDescent="0.3">
      <c r="A66" s="4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52"/>
    </row>
    <row r="67" spans="1:28" ht="18" customHeight="1" x14ac:dyDescent="0.3">
      <c r="A67" s="4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52"/>
    </row>
    <row r="68" spans="1:28" ht="18" customHeight="1" x14ac:dyDescent="0.3">
      <c r="A68" s="4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52"/>
    </row>
    <row r="69" spans="1:28" ht="18" customHeight="1" x14ac:dyDescent="0.3">
      <c r="A69" s="4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52"/>
    </row>
  </sheetData>
  <mergeCells count="126">
    <mergeCell ref="B1:AA1"/>
    <mergeCell ref="B3:F3"/>
    <mergeCell ref="G3:K3"/>
    <mergeCell ref="L3:Q3"/>
    <mergeCell ref="R3:T4"/>
    <mergeCell ref="U3:W4"/>
    <mergeCell ref="X3:Y4"/>
    <mergeCell ref="Z3:AA4"/>
    <mergeCell ref="B4:F4"/>
    <mergeCell ref="G4:K4"/>
    <mergeCell ref="L4:Q4"/>
    <mergeCell ref="T6:U6"/>
    <mergeCell ref="V6:W6"/>
    <mergeCell ref="X6:Y6"/>
    <mergeCell ref="Z6:AA6"/>
    <mergeCell ref="B8:E8"/>
    <mergeCell ref="F8:I8"/>
    <mergeCell ref="J8:M8"/>
    <mergeCell ref="N8:Q8"/>
    <mergeCell ref="R8:V8"/>
    <mergeCell ref="W8:AA8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B9:E10"/>
    <mergeCell ref="F9:I10"/>
    <mergeCell ref="J9:M10"/>
    <mergeCell ref="N9:Q10"/>
    <mergeCell ref="R9:V10"/>
    <mergeCell ref="W9:AA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V11"/>
    <mergeCell ref="W11:X11"/>
    <mergeCell ref="Y11:AA11"/>
    <mergeCell ref="B13:Q13"/>
    <mergeCell ref="R13:AA13"/>
    <mergeCell ref="B30:N30"/>
    <mergeCell ref="O30:AA30"/>
    <mergeCell ref="O32:S32"/>
    <mergeCell ref="T32:V32"/>
    <mergeCell ref="W32:Y32"/>
    <mergeCell ref="Z32:AA32"/>
    <mergeCell ref="O33:S33"/>
    <mergeCell ref="T33:V33"/>
    <mergeCell ref="W33:Y33"/>
    <mergeCell ref="Z33:AA33"/>
    <mergeCell ref="O34:S34"/>
    <mergeCell ref="T34:V34"/>
    <mergeCell ref="W34:Y34"/>
    <mergeCell ref="Z34:AA34"/>
    <mergeCell ref="O35:S35"/>
    <mergeCell ref="T35:V35"/>
    <mergeCell ref="W35:Y35"/>
    <mergeCell ref="Z35:AA35"/>
    <mergeCell ref="O36:S36"/>
    <mergeCell ref="T36:V36"/>
    <mergeCell ref="W36:Y36"/>
    <mergeCell ref="Z36:AA36"/>
    <mergeCell ref="O37:S37"/>
    <mergeCell ref="T37:V37"/>
    <mergeCell ref="W37:Y37"/>
    <mergeCell ref="Z37:AA37"/>
    <mergeCell ref="O38:S38"/>
    <mergeCell ref="T38:V38"/>
    <mergeCell ref="W38:Y38"/>
    <mergeCell ref="Z38:AA38"/>
    <mergeCell ref="O39:S39"/>
    <mergeCell ref="T39:V39"/>
    <mergeCell ref="W39:Y39"/>
    <mergeCell ref="Z39:AA39"/>
    <mergeCell ref="O40:S40"/>
    <mergeCell ref="T40:V40"/>
    <mergeCell ref="W40:Y40"/>
    <mergeCell ref="Z40:AA40"/>
    <mergeCell ref="O41:S41"/>
    <mergeCell ref="T41:V41"/>
    <mergeCell ref="W41:Y41"/>
    <mergeCell ref="Z41:AA41"/>
    <mergeCell ref="O42:S42"/>
    <mergeCell ref="T42:V42"/>
    <mergeCell ref="W42:Y42"/>
    <mergeCell ref="Z42:AA42"/>
    <mergeCell ref="O44:S44"/>
    <mergeCell ref="T44:V44"/>
    <mergeCell ref="W44:Y44"/>
    <mergeCell ref="Z44:AA44"/>
    <mergeCell ref="B47:AA47"/>
    <mergeCell ref="B49:E49"/>
    <mergeCell ref="F49:I49"/>
    <mergeCell ref="J49:M49"/>
    <mergeCell ref="N49:Q49"/>
    <mergeCell ref="R49:V49"/>
    <mergeCell ref="W49:AA49"/>
    <mergeCell ref="B54:AA54"/>
    <mergeCell ref="B50:E51"/>
    <mergeCell ref="F50:I51"/>
    <mergeCell ref="J50:M51"/>
    <mergeCell ref="N50:Q51"/>
    <mergeCell ref="R50:V51"/>
    <mergeCell ref="W50:AA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V52"/>
    <mergeCell ref="W52:X52"/>
    <mergeCell ref="Y52:AA52"/>
  </mergeCells>
  <conditionalFormatting sqref="B6:AA6">
    <cfRule type="expression" dxfId="17" priority="2">
      <formula>AND(B$6&lt;&gt;"",B$6=$U$3)</formula>
    </cfRule>
  </conditionalFormatting>
  <conditionalFormatting sqref="F9">
    <cfRule type="cellIs" dxfId="16" priority="3" operator="greaterThan">
      <formula>0.0001</formula>
    </cfRule>
    <cfRule type="cellIs" dxfId="15" priority="4" operator="lessThan">
      <formula>-0.0001</formula>
    </cfRule>
  </conditionalFormatting>
  <conditionalFormatting sqref="W9">
    <cfRule type="cellIs" dxfId="14" priority="5" operator="equal">
      <formula>"Completo"</formula>
    </cfRule>
    <cfRule type="cellIs" dxfId="13" priority="6" operator="equal">
      <formula>"Parcial"</formula>
    </cfRule>
    <cfRule type="cellIs" dxfId="12" priority="7" operator="equal">
      <formula>"Pendente"</formula>
    </cfRule>
    <cfRule type="expression" dxfId="11" priority="8">
      <formula>LEFT(W9,2)="12"</formula>
    </cfRule>
  </conditionalFormatting>
  <conditionalFormatting sqref="W33:W42">
    <cfRule type="dataBar" priority="9">
      <dataBar>
        <cfvo type="num" val="0"/>
        <cfvo type="max"/>
        <color rgb="FF2E4A6E"/>
      </dataBar>
      <extLst>
        <ext xmlns:x14="http://schemas.microsoft.com/office/spreadsheetml/2009/9/main" uri="{B025F937-C7B1-47D3-B67F-A62EFF666E3E}">
          <x14:id>{61D31C69-7757-4F40-AD28-72FE37E9DB62}</x14:id>
        </ext>
      </extLst>
    </cfRule>
  </conditionalFormatting>
  <conditionalFormatting sqref="Z33:Z42">
    <cfRule type="cellIs" dxfId="10" priority="10" operator="greaterThan">
      <formula>0.0001</formula>
    </cfRule>
    <cfRule type="cellIs" dxfId="9" priority="11" operator="lessThan">
      <formula>-0.0001</formula>
    </cfRule>
  </conditionalFormatting>
  <conditionalFormatting sqref="Z44">
    <cfRule type="cellIs" dxfId="8" priority="12" operator="greaterThan">
      <formula>0.0001</formula>
    </cfRule>
    <cfRule type="cellIs" dxfId="7" priority="13" operator="lessThan">
      <formula>-0.0001</formula>
    </cfRule>
  </conditionalFormatting>
  <conditionalFormatting sqref="J50">
    <cfRule type="cellIs" dxfId="6" priority="14" operator="greaterThan">
      <formula>0.0001</formula>
    </cfRule>
    <cfRule type="cellIs" dxfId="5" priority="15" operator="lessThan">
      <formula>-0.0001</formula>
    </cfRule>
  </conditionalFormatting>
  <conditionalFormatting sqref="N50">
    <cfRule type="cellIs" dxfId="4" priority="16" operator="greaterThan">
      <formula>0.0001</formula>
    </cfRule>
    <cfRule type="cellIs" dxfId="3" priority="17" operator="lessThan">
      <formula>-0.0001</formula>
    </cfRule>
  </conditionalFormatting>
  <dataValidations count="1">
    <dataValidation type="list" sqref="U3" xr:uid="{00000000-0002-0000-0000-000000000000}">
      <formula1>"Ano,Jan,Fev,Mar,Abr,Mai,Jun,Jul,Ago,Set,Out,Nov,Dez"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D31C69-7757-4F40-AD28-72FE37E9DB62}">
            <x14:dataBar axisPosition="none">
              <x14:cfvo type="num">
                <xm:f>0</xm:f>
              </x14:cfvo>
              <x14:cfvo type="max"/>
              <x14:negativeFillColor rgb="FF2E4A6E"/>
            </x14:dataBar>
          </x14:cfRule>
          <xm:sqref>W33:W42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P25"/>
  <sheetViews>
    <sheetView tabSelected="1" zoomScaleNormal="100" workbookViewId="0">
      <pane xSplit="2" ySplit="4" topLeftCell="H5" activePane="bottomRight" state="frozen"/>
      <selection pane="topRight" activeCell="C1" sqref="C1"/>
      <selection pane="bottomLeft" activeCell="A5" sqref="A5"/>
      <selection pane="bottomRight" activeCell="L20" sqref="L20"/>
    </sheetView>
  </sheetViews>
  <sheetFormatPr defaultColWidth="8.6640625" defaultRowHeight="14.4" x14ac:dyDescent="0.3"/>
  <cols>
    <col min="1" max="1" width="58.5546875" style="1" customWidth="1"/>
    <col min="2" max="2" width="55.109375" style="1" customWidth="1"/>
    <col min="3" max="4" width="12.44140625" style="1" customWidth="1"/>
    <col min="5" max="5" width="12.6640625" style="1" customWidth="1"/>
    <col min="6" max="14" width="12.44140625" style="1" customWidth="1"/>
    <col min="15" max="16" width="15" style="1" customWidth="1"/>
  </cols>
  <sheetData>
    <row r="1" spans="1:16" ht="18" customHeight="1" x14ac:dyDescent="0.3">
      <c r="A1" s="13" t="s">
        <v>50</v>
      </c>
    </row>
    <row r="2" spans="1:16" ht="15" customHeight="1" x14ac:dyDescent="0.3">
      <c r="A2" s="54" t="s">
        <v>51</v>
      </c>
    </row>
    <row r="3" spans="1:16" ht="15" customHeight="1" x14ac:dyDescent="0.3">
      <c r="A3" s="15" t="s">
        <v>52</v>
      </c>
      <c r="C3" s="16">
        <v>1</v>
      </c>
      <c r="D3" s="16">
        <v>2</v>
      </c>
      <c r="E3" s="16">
        <v>3</v>
      </c>
      <c r="F3" s="16">
        <v>4</v>
      </c>
      <c r="G3" s="16">
        <v>5</v>
      </c>
      <c r="H3" s="16">
        <v>6</v>
      </c>
      <c r="I3" s="16">
        <v>7</v>
      </c>
      <c r="J3" s="16">
        <v>8</v>
      </c>
      <c r="K3" s="16">
        <v>9</v>
      </c>
      <c r="L3" s="16">
        <v>10</v>
      </c>
      <c r="M3" s="16">
        <v>11</v>
      </c>
      <c r="N3" s="16">
        <v>12</v>
      </c>
    </row>
    <row r="4" spans="1:16" ht="15" customHeight="1" x14ac:dyDescent="0.3">
      <c r="A4" s="17" t="s">
        <v>12</v>
      </c>
      <c r="B4" s="17" t="s">
        <v>53</v>
      </c>
      <c r="C4" s="17" t="s">
        <v>14</v>
      </c>
      <c r="D4" s="17" t="s">
        <v>15</v>
      </c>
      <c r="E4" s="17" t="s">
        <v>16</v>
      </c>
      <c r="F4" s="17" t="s">
        <v>17</v>
      </c>
      <c r="G4" s="17" t="s">
        <v>18</v>
      </c>
      <c r="H4" s="17" t="s">
        <v>19</v>
      </c>
      <c r="I4" s="17" t="s">
        <v>20</v>
      </c>
      <c r="J4" s="17" t="s">
        <v>21</v>
      </c>
      <c r="K4" s="17" t="s">
        <v>22</v>
      </c>
      <c r="L4" s="17" t="s">
        <v>23</v>
      </c>
      <c r="M4" s="17" t="s">
        <v>24</v>
      </c>
      <c r="N4" s="17" t="s">
        <v>25</v>
      </c>
      <c r="O4" s="17" t="s">
        <v>48</v>
      </c>
      <c r="P4" s="17" t="s">
        <v>54</v>
      </c>
    </row>
    <row r="5" spans="1:16" ht="15" customHeight="1" x14ac:dyDescent="0.3">
      <c r="A5" s="18" t="str">
        <f>IF(Cadastro!B5="","",Cadastro!B5)</f>
        <v>Água</v>
      </c>
      <c r="B5" s="19" t="str">
        <f>IF(Cadastro!C5="","",Cadastro!C5)</f>
        <v>Utilidades</v>
      </c>
      <c r="C5" s="20">
        <f>IF($A5="","",IF(MOD(C$3-N(Cadastro!$F5),Cadastro!$G5)=0,Cadastro!$D5,0))</f>
        <v>93.19</v>
      </c>
      <c r="D5" s="20">
        <f>IF($A5="","",IF(MOD(D$3-N(Cadastro!$F5),Cadastro!$G5)=0,Cadastro!$D5,0))</f>
        <v>93.19</v>
      </c>
      <c r="E5" s="20">
        <f>IF($A5="","",IF(MOD(E$3-N(Cadastro!$F5),Cadastro!$G5)=0,Cadastro!$D5,0))</f>
        <v>93.19</v>
      </c>
      <c r="F5" s="20">
        <f>IF($A5="","",IF(MOD(F$3-N(Cadastro!$F5),Cadastro!$G5)=0,Cadastro!$D5,0))</f>
        <v>93.19</v>
      </c>
      <c r="G5" s="20">
        <f>IF($A5="","",IF(MOD(G$3-N(Cadastro!$F5),Cadastro!$G5)=0,Cadastro!$D5,0))</f>
        <v>93.19</v>
      </c>
      <c r="H5" s="20">
        <f>IF($A5="","",IF(MOD(H$3-N(Cadastro!$F5),Cadastro!$G5)=0,Cadastro!$D5,0))</f>
        <v>93.19</v>
      </c>
      <c r="I5" s="20">
        <f>IF($A5="","",IF(MOD(I$3-N(Cadastro!$F5),Cadastro!$G5)=0,Cadastro!$D5,0))</f>
        <v>93.19</v>
      </c>
      <c r="J5" s="20">
        <f>IF($A5="","",IF(MOD(J$3-N(Cadastro!$F5),Cadastro!$G5)=0,Cadastro!$D5,0))</f>
        <v>93.19</v>
      </c>
      <c r="K5" s="20"/>
      <c r="L5" s="20"/>
      <c r="M5" s="20"/>
      <c r="N5" s="20"/>
      <c r="O5" s="21">
        <f t="shared" ref="O5:O20" si="0">IF($A5="","",SUM(C5:N5))</f>
        <v>745.52</v>
      </c>
      <c r="P5" s="22">
        <f t="shared" ref="P5:P20" si="1">IF(OR($A5="",COUNT(C5:N5)=0),"",AVERAGE(C5:N5))</f>
        <v>93.19</v>
      </c>
    </row>
    <row r="6" spans="1:16" ht="15" customHeight="1" x14ac:dyDescent="0.3">
      <c r="A6" s="18" t="str">
        <f>IF(Cadastro!B6="","",Cadastro!B6)</f>
        <v>Energia</v>
      </c>
      <c r="B6" s="19" t="str">
        <f>IF(Cadastro!C6="","",Cadastro!C6)</f>
        <v>Utilidades</v>
      </c>
      <c r="C6" s="20">
        <f>IF($A6="","",IF(MOD(C$3-N(Cadastro!$F6),Cadastro!$G6)=0,Cadastro!$D6,0))</f>
        <v>145.19</v>
      </c>
      <c r="D6" s="20">
        <f>IF($A6="","",IF(MOD(D$3-N(Cadastro!$F6),Cadastro!$G6)=0,Cadastro!$D6,0))</f>
        <v>145.19</v>
      </c>
      <c r="E6" s="20">
        <f>IF($A6="","",IF(MOD(E$3-N(Cadastro!$F6),Cadastro!$G6)=0,Cadastro!$D6,0))</f>
        <v>145.19</v>
      </c>
      <c r="F6" s="20">
        <f>IF($A6="","",IF(MOD(F$3-N(Cadastro!$F6),Cadastro!$G6)=0,Cadastro!$D6,0))</f>
        <v>145.19</v>
      </c>
      <c r="G6" s="20">
        <f>IF($A6="","",IF(MOD(G$3-N(Cadastro!$F6),Cadastro!$G6)=0,Cadastro!$D6,0))</f>
        <v>145.19</v>
      </c>
      <c r="H6" s="20">
        <f>IF($A6="","",IF(MOD(H$3-N(Cadastro!$F6),Cadastro!$G6)=0,Cadastro!$D6,0))</f>
        <v>145.19</v>
      </c>
      <c r="I6" s="20">
        <f>IF($A6="","",IF(MOD(I$3-N(Cadastro!$F6),Cadastro!$G6)=0,Cadastro!$D6,0))</f>
        <v>145.19</v>
      </c>
      <c r="J6" s="20">
        <f>IF($A6="","",IF(MOD(J$3-N(Cadastro!$F6),Cadastro!$G6)=0,Cadastro!$D6,0))</f>
        <v>145.19</v>
      </c>
      <c r="K6" s="20"/>
      <c r="L6" s="20"/>
      <c r="M6" s="20"/>
      <c r="N6" s="20"/>
      <c r="O6" s="21">
        <f t="shared" si="0"/>
        <v>1161.5200000000002</v>
      </c>
      <c r="P6" s="22">
        <f t="shared" si="1"/>
        <v>145.19000000000003</v>
      </c>
    </row>
    <row r="7" spans="1:16" ht="15" customHeight="1" x14ac:dyDescent="0.3">
      <c r="A7" s="18" t="str">
        <f>IF(Cadastro!B7="","",Cadastro!B7)</f>
        <v>Seguro galpão</v>
      </c>
      <c r="B7" s="19" t="str">
        <f>IF(Cadastro!C7="","",Cadastro!C7)</f>
        <v>Seguros e Segurança</v>
      </c>
      <c r="C7" s="20">
        <v>2569.27</v>
      </c>
      <c r="D7" s="20">
        <f>IF($A7="","",IF(MOD(D$3-N(Cadastro!$F7),Cadastro!$G7)=0,Cadastro!$D7,0))</f>
        <v>0</v>
      </c>
      <c r="E7" s="20"/>
      <c r="F7" s="20">
        <f>IF($A7="","",IF(MOD(F$3-N(Cadastro!$F7),Cadastro!$G7)=0,Cadastro!$D7,0))</f>
        <v>0</v>
      </c>
      <c r="G7" s="20">
        <f>IF($A7="","",IF(MOD(G$3-N(Cadastro!$F7),Cadastro!$G7)=0,Cadastro!$D7,0))</f>
        <v>0</v>
      </c>
      <c r="H7" s="20">
        <f>IF($A7="","",IF(MOD(H$3-N(Cadastro!$F7),Cadastro!$G7)=0,Cadastro!$D7,0))</f>
        <v>0</v>
      </c>
      <c r="I7" s="20">
        <f>IF($A7="","",IF(MOD(I$3-N(Cadastro!$F7),Cadastro!$G7)=0,Cadastro!$D7,0))</f>
        <v>0</v>
      </c>
      <c r="J7" s="20">
        <f>IF($A7="","",IF(MOD(J$3-N(Cadastro!$F7),Cadastro!$G7)=0,Cadastro!$D7,0))</f>
        <v>0</v>
      </c>
      <c r="K7" s="20"/>
      <c r="L7" s="20"/>
      <c r="M7" s="20"/>
      <c r="N7" s="20"/>
      <c r="O7" s="21">
        <f t="shared" si="0"/>
        <v>2569.27</v>
      </c>
      <c r="P7" s="22">
        <f t="shared" si="1"/>
        <v>367.0385714285714</v>
      </c>
    </row>
    <row r="8" spans="1:16" ht="15" customHeight="1" x14ac:dyDescent="0.3">
      <c r="A8" s="18" t="str">
        <f>IF(Cadastro!B8="","",Cadastro!B8)</f>
        <v>Segurança Emive</v>
      </c>
      <c r="B8" s="19" t="str">
        <f>IF(Cadastro!C8="","",Cadastro!C8)</f>
        <v>Seguros e Segurança</v>
      </c>
      <c r="C8" s="20">
        <f>IF($A8="","",IF(MOD(C$3-N(Cadastro!$F8),Cadastro!$G8)=0,Cadastro!$D8,0))</f>
        <v>384</v>
      </c>
      <c r="D8" s="20">
        <f>IF($A8="","",IF(MOD(D$3-N(Cadastro!$F8),Cadastro!$G8)=0,Cadastro!$D8,0))</f>
        <v>384</v>
      </c>
      <c r="E8" s="20">
        <f>IF($A8="","",IF(MOD(E$3-N(Cadastro!$F8),Cadastro!$G8)=0,Cadastro!$D8,0))</f>
        <v>384</v>
      </c>
      <c r="F8" s="20">
        <f>IF($A8="","",IF(MOD(F$3-N(Cadastro!$F8),Cadastro!$G8)=0,Cadastro!$D8,0))</f>
        <v>384</v>
      </c>
      <c r="G8" s="20">
        <f>IF($A8="","",IF(MOD(G$3-N(Cadastro!$F8),Cadastro!$G8)=0,Cadastro!$D8,0))</f>
        <v>384</v>
      </c>
      <c r="H8" s="20">
        <f>IF($A8="","",IF(MOD(H$3-N(Cadastro!$F8),Cadastro!$G8)=0,Cadastro!$D8,0))</f>
        <v>384</v>
      </c>
      <c r="I8" s="20">
        <f>IF($A8="","",IF(MOD(I$3-N(Cadastro!$F8),Cadastro!$G8)=0,Cadastro!$D8,0))</f>
        <v>384</v>
      </c>
      <c r="J8" s="20">
        <f>IF($A8="","",IF(MOD(J$3-N(Cadastro!$F8),Cadastro!$G8)=0,Cadastro!$D8,0))</f>
        <v>384</v>
      </c>
      <c r="K8" s="20"/>
      <c r="L8" s="20"/>
      <c r="M8" s="20"/>
      <c r="N8" s="20"/>
      <c r="O8" s="21">
        <f t="shared" si="0"/>
        <v>3072</v>
      </c>
      <c r="P8" s="22">
        <f t="shared" si="1"/>
        <v>384</v>
      </c>
    </row>
    <row r="9" spans="1:16" ht="15" customHeight="1" x14ac:dyDescent="0.3">
      <c r="A9" s="18" t="str">
        <f>IF(Cadastro!B9="","",Cadastro!B9)</f>
        <v>Dedetização</v>
      </c>
      <c r="B9" s="19" t="str">
        <f>IF(Cadastro!C9="","",Cadastro!C9)</f>
        <v>Manutenção</v>
      </c>
      <c r="C9" s="20">
        <f>IF($A9="","",IF(MOD(C$3-N(Cadastro!$F9),Cadastro!$G9)=0,Cadastro!$D9,0))</f>
        <v>300</v>
      </c>
      <c r="D9" s="20">
        <f>IF($A9="","",IF(MOD(D$3-N(Cadastro!$F9),Cadastro!$G9)=0,Cadastro!$D9,0))</f>
        <v>0</v>
      </c>
      <c r="E9" s="20">
        <f>IF($A9="","",IF(MOD(E$3-N(Cadastro!$F9),Cadastro!$G9)=0,Cadastro!$D9,0))</f>
        <v>0</v>
      </c>
      <c r="F9" s="20">
        <f>IF($A9="","",IF(MOD(F$3-N(Cadastro!$F9),Cadastro!$G9)=0,Cadastro!$D9,0))</f>
        <v>0</v>
      </c>
      <c r="G9" s="20">
        <f>IF($A9="","",IF(MOD(G$3-N(Cadastro!$F9),Cadastro!$G9)=0,Cadastro!$D9,0))</f>
        <v>0</v>
      </c>
      <c r="H9" s="20">
        <f>IF($A9="","",IF(MOD(H$3-N(Cadastro!$F9),Cadastro!$G9)=0,Cadastro!$D9,0))</f>
        <v>0</v>
      </c>
      <c r="I9" s="20">
        <f>IF($A9="","",IF(MOD(I$3-N(Cadastro!$F9),Cadastro!$G9)=0,Cadastro!$D9,0))</f>
        <v>300</v>
      </c>
      <c r="J9" s="20">
        <f>IF($A9="","",IF(MOD(J$3-N(Cadastro!$F9),Cadastro!$G9)=0,Cadastro!$D9,0))</f>
        <v>0</v>
      </c>
      <c r="K9" s="20"/>
      <c r="L9" s="20"/>
      <c r="M9" s="20"/>
      <c r="N9" s="20"/>
      <c r="O9" s="21">
        <f t="shared" si="0"/>
        <v>600</v>
      </c>
      <c r="P9" s="22">
        <f t="shared" si="1"/>
        <v>75</v>
      </c>
    </row>
    <row r="10" spans="1:16" ht="15" customHeight="1" x14ac:dyDescent="0.3">
      <c r="A10" s="18" t="str">
        <f>IF(Cadastro!B10="","",Cadastro!B10)</f>
        <v>IPTU</v>
      </c>
      <c r="B10" s="19" t="str">
        <f>IF(Cadastro!C10="","",Cadastro!C10)</f>
        <v>Impostos e Taxas</v>
      </c>
      <c r="C10" s="20">
        <f>IF($A10="","",IF(MOD(C$3-N(Cadastro!$F10),Cadastro!$G10)=0,Cadastro!$D10,0))</f>
        <v>0</v>
      </c>
      <c r="D10" s="20">
        <f>IF($A10="","",IF(MOD(D$3-N(Cadastro!$F10),Cadastro!$G10)=0,Cadastro!$D10,0))</f>
        <v>2569.27</v>
      </c>
      <c r="E10" s="20">
        <f>IF($A10="","",IF(MOD(E$3-N(Cadastro!$F10),Cadastro!$G10)=0,Cadastro!$D10,0))</f>
        <v>0</v>
      </c>
      <c r="F10" s="20">
        <f>IF($A10="","",IF(MOD(F$3-N(Cadastro!$F10),Cadastro!$G10)=0,Cadastro!$D10,0))</f>
        <v>0</v>
      </c>
      <c r="G10" s="20">
        <f>IF($A10="","",IF(MOD(G$3-N(Cadastro!$F10),Cadastro!$G10)=0,Cadastro!$D10,0))</f>
        <v>0</v>
      </c>
      <c r="H10" s="20">
        <f>IF($A10="","",IF(MOD(H$3-N(Cadastro!$F10),Cadastro!$G10)=0,Cadastro!$D10,0))</f>
        <v>0</v>
      </c>
      <c r="I10" s="20">
        <f>IF($A10="","",IF(MOD(I$3-N(Cadastro!$F10),Cadastro!$G10)=0,Cadastro!$D10,0))</f>
        <v>0</v>
      </c>
      <c r="J10" s="20">
        <f>IF($A10="","",IF(MOD(J$3-N(Cadastro!$F10),Cadastro!$G10)=0,Cadastro!$D10,0))</f>
        <v>0</v>
      </c>
      <c r="K10" s="20"/>
      <c r="L10" s="20"/>
      <c r="M10" s="20"/>
      <c r="N10" s="20"/>
      <c r="O10" s="21">
        <f t="shared" si="0"/>
        <v>2569.27</v>
      </c>
      <c r="P10" s="22">
        <f t="shared" si="1"/>
        <v>321.15875</v>
      </c>
    </row>
    <row r="11" spans="1:16" ht="15" customHeight="1" x14ac:dyDescent="0.3">
      <c r="A11" s="18" t="str">
        <f>IF(Cadastro!B11="","",Cadastro!B11)</f>
        <v>Controle de Ponto</v>
      </c>
      <c r="B11" s="19" t="str">
        <f>IF(Cadastro!C11="","",Cadastro!C11)</f>
        <v>Pessoal</v>
      </c>
      <c r="C11" s="20">
        <f>IF($A11="","",IF(MOD(C$3-N(Cadastro!$F11),Cadastro!$G11)=0,Cadastro!$D11,0))</f>
        <v>118</v>
      </c>
      <c r="D11" s="20">
        <f>IF($A11="","",IF(MOD(D$3-N(Cadastro!$F11),Cadastro!$G11)=0,Cadastro!$D11,0))</f>
        <v>118</v>
      </c>
      <c r="E11" s="20">
        <f>IF($A11="","",IF(MOD(E$3-N(Cadastro!$F11),Cadastro!$G11)=0,Cadastro!$D11,0))</f>
        <v>118</v>
      </c>
      <c r="F11" s="20">
        <f>IF($A11="","",IF(MOD(F$3-N(Cadastro!$F11),Cadastro!$G11)=0,Cadastro!$D11,0))</f>
        <v>118</v>
      </c>
      <c r="G11" s="20">
        <f>IF($A11="","",IF(MOD(G$3-N(Cadastro!$F11),Cadastro!$G11)=0,Cadastro!$D11,0))</f>
        <v>118</v>
      </c>
      <c r="H11" s="20">
        <f>IF($A11="","",IF(MOD(H$3-N(Cadastro!$F11),Cadastro!$G11)=0,Cadastro!$D11,0))</f>
        <v>118</v>
      </c>
      <c r="I11" s="20">
        <f>IF($A11="","",IF(MOD(I$3-N(Cadastro!$F11),Cadastro!$G11)=0,Cadastro!$D11,0))</f>
        <v>118</v>
      </c>
      <c r="J11" s="20">
        <f>IF($A11="","",IF(MOD(J$3-N(Cadastro!$F11),Cadastro!$G11)=0,Cadastro!$D11,0))</f>
        <v>118</v>
      </c>
      <c r="K11" s="20"/>
      <c r="L11" s="20"/>
      <c r="M11" s="20"/>
      <c r="N11" s="20"/>
      <c r="O11" s="21">
        <f t="shared" si="0"/>
        <v>944</v>
      </c>
      <c r="P11" s="22">
        <f t="shared" si="1"/>
        <v>118</v>
      </c>
    </row>
    <row r="12" spans="1:16" ht="15" customHeight="1" x14ac:dyDescent="0.3">
      <c r="A12" s="18" t="str">
        <f>IF(Cadastro!B12="","",Cadastro!B12)</f>
        <v>Extintores</v>
      </c>
      <c r="B12" s="19" t="str">
        <f>IF(Cadastro!C12="","",Cadastro!C12)</f>
        <v>Manutenção</v>
      </c>
      <c r="C12" s="20">
        <f>IF($A12="","",IF(MOD(C$3-N(Cadastro!$F12),Cadastro!$G12)=0,Cadastro!$D12,0))</f>
        <v>0</v>
      </c>
      <c r="D12" s="20">
        <f>IF($A12="","",IF(MOD(D$3-N(Cadastro!$F12),Cadastro!$G12)=0,Cadastro!$D12,0))</f>
        <v>0</v>
      </c>
      <c r="E12" s="20">
        <f>IF($A12="","",IF(MOD(E$3-N(Cadastro!$F12),Cadastro!$G12)=0,Cadastro!$D12,0))</f>
        <v>0</v>
      </c>
      <c r="F12" s="20">
        <f>IF($A12="","",IF(MOD(F$3-N(Cadastro!$F12),Cadastro!$G12)=0,Cadastro!$D12,0))</f>
        <v>0</v>
      </c>
      <c r="G12" s="20">
        <f>IF($A12="","",IF(MOD(G$3-N(Cadastro!$F12),Cadastro!$G12)=0,Cadastro!$D12,0))</f>
        <v>0</v>
      </c>
      <c r="H12" s="20">
        <f>IF($A12="","",IF(MOD(H$3-N(Cadastro!$F12),Cadastro!$G12)=0,Cadastro!$D12,0))</f>
        <v>570</v>
      </c>
      <c r="I12" s="20">
        <f>IF($A12="","",IF(MOD(I$3-N(Cadastro!$F12),Cadastro!$G12)=0,Cadastro!$D12,0))</f>
        <v>0</v>
      </c>
      <c r="J12" s="20">
        <f>IF($A12="","",IF(MOD(J$3-N(Cadastro!$F12),Cadastro!$G12)=0,Cadastro!$D12,0))</f>
        <v>0</v>
      </c>
      <c r="K12" s="20"/>
      <c r="L12" s="20"/>
      <c r="M12" s="20"/>
      <c r="N12" s="20"/>
      <c r="O12" s="21">
        <f t="shared" si="0"/>
        <v>570</v>
      </c>
      <c r="P12" s="22">
        <f t="shared" si="1"/>
        <v>71.25</v>
      </c>
    </row>
    <row r="13" spans="1:16" ht="15" customHeight="1" x14ac:dyDescent="0.3">
      <c r="A13" s="18" t="str">
        <f>IF(Cadastro!B13="","",Cadastro!B13)</f>
        <v>Internet</v>
      </c>
      <c r="B13" s="19" t="str">
        <f>IF(Cadastro!C13="","",Cadastro!C13)</f>
        <v>Utilidades</v>
      </c>
      <c r="C13" s="20">
        <f>IF($A13="","",IF(MOD(C$3-N(Cadastro!$F13),Cadastro!$G13)=0,Cadastro!$D13,0))</f>
        <v>167.71</v>
      </c>
      <c r="D13" s="20">
        <f>IF($A13="","",IF(MOD(D$3-N(Cadastro!$F13),Cadastro!$G13)=0,Cadastro!$D13,0))</f>
        <v>167.71</v>
      </c>
      <c r="E13" s="20">
        <f>IF($A13="","",IF(MOD(E$3-N(Cadastro!$F13),Cadastro!$G13)=0,Cadastro!$D13,0))</f>
        <v>167.71</v>
      </c>
      <c r="F13" s="20">
        <f>IF($A13="","",IF(MOD(F$3-N(Cadastro!$F13),Cadastro!$G13)=0,Cadastro!$D13,0))</f>
        <v>167.71</v>
      </c>
      <c r="G13" s="20">
        <f>IF($A13="","",IF(MOD(G$3-N(Cadastro!$F13),Cadastro!$G13)=0,Cadastro!$D13,0))</f>
        <v>167.71</v>
      </c>
      <c r="H13" s="20">
        <f>IF($A13="","",IF(MOD(H$3-N(Cadastro!$F13),Cadastro!$G13)=0,Cadastro!$D13,0))</f>
        <v>167.71</v>
      </c>
      <c r="I13" s="20">
        <f>IF($A13="","",IF(MOD(I$3-N(Cadastro!$F13),Cadastro!$G13)=0,Cadastro!$D13,0))</f>
        <v>167.71</v>
      </c>
      <c r="J13" s="20">
        <f>IF($A13="","",IF(MOD(J$3-N(Cadastro!$F13),Cadastro!$G13)=0,Cadastro!$D13,0))</f>
        <v>167.71</v>
      </c>
      <c r="K13" s="20"/>
      <c r="L13" s="20"/>
      <c r="M13" s="20"/>
      <c r="N13" s="20"/>
      <c r="O13" s="21">
        <f t="shared" si="0"/>
        <v>1341.68</v>
      </c>
      <c r="P13" s="22">
        <f t="shared" si="1"/>
        <v>167.71</v>
      </c>
    </row>
    <row r="14" spans="1:16" ht="15" customHeight="1" x14ac:dyDescent="0.3">
      <c r="A14" s="18" t="str">
        <f>IF(Cadastro!B14="","",Cadastro!B14)</f>
        <v>Funcionários</v>
      </c>
      <c r="B14" s="19" t="str">
        <f>IF(Cadastro!C14="","",Cadastro!C14)</f>
        <v>Pessoal</v>
      </c>
      <c r="C14" s="20">
        <f>IF($A14="","",IF(MOD(C$3-N(Cadastro!$F14),Cadastro!$G14)=0,Cadastro!$D14,0))</f>
        <v>14212.81</v>
      </c>
      <c r="D14" s="20">
        <f>IF($A14="","",IF(MOD(D$3-N(Cadastro!$F14),Cadastro!$G14)=0,Cadastro!$D14,0))</f>
        <v>14212.81</v>
      </c>
      <c r="E14" s="20">
        <f>IF($A14="","",IF(MOD(E$3-N(Cadastro!$F14),Cadastro!$G14)=0,Cadastro!$D14,0))</f>
        <v>14212.81</v>
      </c>
      <c r="F14" s="20">
        <f>IF($A14="","",IF(MOD(F$3-N(Cadastro!$F14),Cadastro!$G14)=0,Cadastro!$D14,0))</f>
        <v>14212.81</v>
      </c>
      <c r="G14" s="20">
        <f>IF($A14="","",IF(MOD(G$3-N(Cadastro!$F14),Cadastro!$G14)=0,Cadastro!$D14,0))</f>
        <v>14212.81</v>
      </c>
      <c r="H14" s="20">
        <f>IF($A14="","",IF(MOD(H$3-N(Cadastro!$F14),Cadastro!$G14)=0,Cadastro!$D14,0))</f>
        <v>14212.81</v>
      </c>
      <c r="I14" s="20">
        <f>IF($A14="","",IF(MOD(I$3-N(Cadastro!$F14),Cadastro!$G14)=0,Cadastro!$D14,0))</f>
        <v>14212.81</v>
      </c>
      <c r="J14" s="20">
        <f>IF($A14="","",IF(MOD(J$3-N(Cadastro!$F14),Cadastro!$G14)=0,Cadastro!$D14,0))</f>
        <v>14212.81</v>
      </c>
      <c r="K14" s="20"/>
      <c r="L14" s="20"/>
      <c r="M14" s="20"/>
      <c r="N14" s="20"/>
      <c r="O14" s="21">
        <f t="shared" si="0"/>
        <v>113702.48</v>
      </c>
      <c r="P14" s="22">
        <f t="shared" si="1"/>
        <v>14212.81</v>
      </c>
    </row>
    <row r="15" spans="1:16" ht="15" customHeight="1" x14ac:dyDescent="0.3">
      <c r="A15" s="18" t="s">
        <v>101</v>
      </c>
      <c r="B15" s="19" t="str">
        <f>IF(Cadastro!C15="","",Cadastro!C15)</f>
        <v>Veiculo</v>
      </c>
      <c r="C15" s="20">
        <v>4088.84</v>
      </c>
      <c r="D15" s="20">
        <v>2962.04</v>
      </c>
      <c r="E15" s="20">
        <v>5025.17</v>
      </c>
      <c r="F15" s="20">
        <v>4646.7700000000004</v>
      </c>
      <c r="G15" s="20">
        <f>3707.55</f>
        <v>3707.55</v>
      </c>
      <c r="H15" s="20">
        <v>3652.23</v>
      </c>
      <c r="I15" s="20">
        <f>3860.97+298.55</f>
        <v>4159.5199999999995</v>
      </c>
      <c r="J15" s="20">
        <f>2380.73+110.17</f>
        <v>2490.9</v>
      </c>
      <c r="K15" s="20"/>
      <c r="L15" s="20"/>
      <c r="M15" s="20"/>
      <c r="N15" s="20"/>
      <c r="O15" s="21">
        <f>IF($A15="","",SUM(C15:N15))</f>
        <v>30733.02</v>
      </c>
      <c r="P15" s="22">
        <f>IF(OR($A15="",COUNT(C15:N15)=0),"",AVERAGE(C15:N15))</f>
        <v>3841.6275000000001</v>
      </c>
    </row>
    <row r="16" spans="1:16" ht="15" customHeight="1" x14ac:dyDescent="0.3">
      <c r="A16" s="55" t="s">
        <v>110</v>
      </c>
      <c r="B16" s="19" t="str">
        <f>IF(Cadastro!C16="","",Cadastro!C16)</f>
        <v>Manutenção</v>
      </c>
      <c r="C16" s="53"/>
      <c r="D16" s="53"/>
      <c r="E16" s="53">
        <v>1090</v>
      </c>
      <c r="F16" s="53">
        <v>300</v>
      </c>
      <c r="G16" s="53">
        <v>1127</v>
      </c>
      <c r="H16" s="53">
        <v>8106</v>
      </c>
      <c r="I16" s="53"/>
      <c r="J16" s="53"/>
      <c r="K16" s="20"/>
      <c r="L16" s="20"/>
      <c r="M16" s="20"/>
      <c r="N16" s="20"/>
      <c r="O16" s="21">
        <f t="shared" si="0"/>
        <v>10623</v>
      </c>
      <c r="P16" s="22">
        <f t="shared" si="1"/>
        <v>2655.75</v>
      </c>
    </row>
    <row r="17" spans="1:16" ht="15" customHeight="1" x14ac:dyDescent="0.3">
      <c r="A17" s="18" t="str">
        <f>IF(Cadastro!B17="","",Cadastro!B17)</f>
        <v>Tubete</v>
      </c>
      <c r="B17" s="19" t="str">
        <f>IF(Cadastro!C17="","",Cadastro!C17)</f>
        <v>Insumo</v>
      </c>
      <c r="C17" s="20">
        <v>15443.95</v>
      </c>
      <c r="D17" s="20">
        <v>11826.15</v>
      </c>
      <c r="E17" s="20">
        <v>10391.35</v>
      </c>
      <c r="F17" s="20">
        <v>17694.650000000001</v>
      </c>
      <c r="G17" s="20">
        <v>9866.7999999999993</v>
      </c>
      <c r="H17" s="20">
        <v>11657.35</v>
      </c>
      <c r="I17" s="20">
        <v>22825.5</v>
      </c>
      <c r="J17" s="20">
        <v>12575.45</v>
      </c>
      <c r="K17" s="20"/>
      <c r="L17" s="20"/>
      <c r="M17" s="20"/>
      <c r="N17" s="20"/>
      <c r="O17" s="21">
        <f t="shared" si="0"/>
        <v>112281.2</v>
      </c>
      <c r="P17" s="22">
        <f t="shared" si="1"/>
        <v>14035.15</v>
      </c>
    </row>
    <row r="18" spans="1:16" ht="15" customHeight="1" x14ac:dyDescent="0.3">
      <c r="A18" s="18" t="str">
        <f>IF(Cadastro!B18="","",Cadastro!B18)</f>
        <v>Manutenção Predial</v>
      </c>
      <c r="B18" s="19" t="str">
        <f>IF(Cadastro!C18="","",Cadastro!C18)</f>
        <v>Manutenção</v>
      </c>
      <c r="C18" s="20">
        <v>1180</v>
      </c>
      <c r="D18" s="20">
        <v>1090</v>
      </c>
      <c r="E18" s="20">
        <v>150</v>
      </c>
      <c r="F18" s="20">
        <v>120</v>
      </c>
      <c r="G18" s="20">
        <v>100</v>
      </c>
      <c r="H18" s="20"/>
      <c r="I18" s="20">
        <v>458</v>
      </c>
      <c r="J18" s="20">
        <v>1100</v>
      </c>
      <c r="K18" s="20"/>
      <c r="L18" s="20"/>
      <c r="M18" s="20"/>
      <c r="N18" s="20"/>
      <c r="O18" s="21">
        <f t="shared" si="0"/>
        <v>4198</v>
      </c>
      <c r="P18" s="22">
        <f t="shared" si="1"/>
        <v>599.71428571428567</v>
      </c>
    </row>
    <row r="19" spans="1:16" ht="15" customHeight="1" x14ac:dyDescent="0.3">
      <c r="A19" s="18" t="str">
        <f>IF(Cadastro!B19="","",Cadastro!B19)</f>
        <v>Seguro do Caminhão</v>
      </c>
      <c r="B19" s="19" t="str">
        <f>IF(Cadastro!C19="","",Cadastro!C19)</f>
        <v>Veiculo</v>
      </c>
      <c r="C19" s="20">
        <v>464.31166666666599</v>
      </c>
      <c r="D19" s="20">
        <v>464.31166666666599</v>
      </c>
      <c r="E19" s="20">
        <v>464.31166666666599</v>
      </c>
      <c r="F19" s="20">
        <v>464.31166666666599</v>
      </c>
      <c r="G19" s="20">
        <v>464.31166666666599</v>
      </c>
      <c r="H19" s="20">
        <v>464.31166666666599</v>
      </c>
      <c r="I19" s="20">
        <v>464.31166666666599</v>
      </c>
      <c r="J19" s="20">
        <v>464.31166666666599</v>
      </c>
      <c r="K19" s="20"/>
      <c r="L19" s="20"/>
      <c r="M19" s="20"/>
      <c r="N19" s="20"/>
      <c r="O19" s="21">
        <f t="shared" si="0"/>
        <v>3714.4933333333279</v>
      </c>
      <c r="P19" s="22">
        <f t="shared" si="1"/>
        <v>464.31166666666599</v>
      </c>
    </row>
    <row r="20" spans="1:16" ht="15" customHeight="1" x14ac:dyDescent="0.3">
      <c r="A20" s="55" t="str">
        <f>IF(Cadastro!B20="","",Cadastro!B20)</f>
        <v>Parcela Caminhão</v>
      </c>
      <c r="B20" s="19" t="str">
        <f>IF(Cadastro!C20="","",Cadastro!C20)</f>
        <v>Veiculo</v>
      </c>
      <c r="C20" s="20">
        <v>3379.49</v>
      </c>
      <c r="D20" s="20">
        <v>3379.49</v>
      </c>
      <c r="E20" s="20">
        <v>3379.49</v>
      </c>
      <c r="F20" s="20">
        <v>3379.49</v>
      </c>
      <c r="G20" s="20">
        <v>3379.49</v>
      </c>
      <c r="H20" s="20">
        <v>3379.49</v>
      </c>
      <c r="I20" s="20">
        <v>3379.49</v>
      </c>
      <c r="J20" s="20">
        <v>3379.49</v>
      </c>
      <c r="K20" s="20">
        <v>3379.49</v>
      </c>
      <c r="L20" s="20"/>
      <c r="M20" s="20"/>
      <c r="N20" s="20"/>
      <c r="O20" s="21">
        <f t="shared" si="0"/>
        <v>30415.409999999989</v>
      </c>
      <c r="P20" s="22">
        <f t="shared" si="1"/>
        <v>3379.4899999999989</v>
      </c>
    </row>
    <row r="21" spans="1:16" ht="15" customHeight="1" x14ac:dyDescent="0.3">
      <c r="A21" s="55" t="str">
        <f>IF(Cadastro!B21="","",Cadastro!B21)</f>
        <v>Despesas Pessoal (EPI, Farda e Ferramentas, Diaristas)</v>
      </c>
      <c r="B21" s="19" t="s">
        <v>34</v>
      </c>
      <c r="C21" s="20"/>
      <c r="D21" s="20"/>
      <c r="E21" s="20"/>
      <c r="F21" s="20">
        <v>363</v>
      </c>
      <c r="G21" s="20"/>
      <c r="H21" s="20"/>
      <c r="I21" s="20"/>
      <c r="J21" s="20">
        <v>125</v>
      </c>
      <c r="K21" s="20"/>
      <c r="L21" s="20"/>
      <c r="M21" s="20"/>
      <c r="N21" s="20"/>
      <c r="O21" s="21">
        <f>IF($A21="","",SUM(C21:N21))</f>
        <v>488</v>
      </c>
      <c r="P21" s="22">
        <f>IF(OR($A21="",COUNT(C21:N21)=0),"",AVERAGE(C21:N21))</f>
        <v>244</v>
      </c>
    </row>
    <row r="22" spans="1:16" ht="15" customHeight="1" x14ac:dyDescent="0.3">
      <c r="A22" s="18" t="str">
        <f>IF(Cadastro!B22="","",Cadastro!B22)</f>
        <v xml:space="preserve">Outras Despesas </v>
      </c>
      <c r="B22" s="19" t="s">
        <v>34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/>
      <c r="L22" s="20"/>
      <c r="M22" s="20"/>
      <c r="N22" s="20"/>
      <c r="O22" s="21">
        <f>IF($A22="","",SUM(C22:N22))</f>
        <v>0</v>
      </c>
      <c r="P22" s="22">
        <f>IF(OR($A22="",COUNT(C22:N22)=0),"",AVERAGE(C22:N22))</f>
        <v>0</v>
      </c>
    </row>
    <row r="23" spans="1:16" ht="15" customHeight="1" x14ac:dyDescent="0.3">
      <c r="A23" s="24" t="s">
        <v>55</v>
      </c>
      <c r="B23" s="24"/>
      <c r="C23" s="24">
        <f>SUM(C5:C22)</f>
        <v>42546.761666666665</v>
      </c>
      <c r="D23" s="24">
        <f t="shared" ref="D23:P23" si="2">SUM(D5:D22)</f>
        <v>37412.161666666667</v>
      </c>
      <c r="E23" s="24">
        <f t="shared" si="2"/>
        <v>35621.221666666665</v>
      </c>
      <c r="F23" s="24">
        <f t="shared" si="2"/>
        <v>42089.121666666666</v>
      </c>
      <c r="G23" s="24">
        <f t="shared" si="2"/>
        <v>33766.051666666666</v>
      </c>
      <c r="H23" s="24">
        <f t="shared" si="2"/>
        <v>42950.281666666669</v>
      </c>
      <c r="I23" s="24">
        <f t="shared" si="2"/>
        <v>46707.721666666665</v>
      </c>
      <c r="J23" s="24">
        <f t="shared" si="2"/>
        <v>35256.051666666666</v>
      </c>
      <c r="K23" s="24">
        <f t="shared" si="2"/>
        <v>3379.49</v>
      </c>
      <c r="L23" s="24">
        <f t="shared" si="2"/>
        <v>0</v>
      </c>
      <c r="M23" s="24">
        <f t="shared" si="2"/>
        <v>0</v>
      </c>
      <c r="N23" s="24">
        <f t="shared" si="2"/>
        <v>0</v>
      </c>
      <c r="O23" s="24">
        <f t="shared" si="2"/>
        <v>319728.86333333328</v>
      </c>
      <c r="P23" s="24">
        <f t="shared" si="2"/>
        <v>41175.390773809522</v>
      </c>
    </row>
    <row r="24" spans="1:16" ht="15" customHeight="1" x14ac:dyDescent="0.3">
      <c r="A24" s="25" t="s">
        <v>56</v>
      </c>
      <c r="B24" s="26"/>
      <c r="C24" s="27">
        <f t="shared" ref="C24:N24" si="3">COUNT(C5:C21)</f>
        <v>15</v>
      </c>
      <c r="D24" s="27">
        <f t="shared" si="3"/>
        <v>15</v>
      </c>
      <c r="E24" s="27">
        <f t="shared" si="3"/>
        <v>15</v>
      </c>
      <c r="F24" s="27">
        <f t="shared" si="3"/>
        <v>17</v>
      </c>
      <c r="G24" s="27">
        <f t="shared" si="3"/>
        <v>16</v>
      </c>
      <c r="H24" s="27">
        <f t="shared" si="3"/>
        <v>15</v>
      </c>
      <c r="I24" s="27">
        <f t="shared" si="3"/>
        <v>15</v>
      </c>
      <c r="J24" s="27">
        <f t="shared" si="3"/>
        <v>16</v>
      </c>
      <c r="K24" s="27">
        <f t="shared" si="3"/>
        <v>1</v>
      </c>
      <c r="L24" s="27">
        <f t="shared" si="3"/>
        <v>0</v>
      </c>
      <c r="M24" s="27">
        <f t="shared" si="3"/>
        <v>0</v>
      </c>
      <c r="N24" s="27">
        <f t="shared" si="3"/>
        <v>0</v>
      </c>
    </row>
    <row r="25" spans="1:16" ht="15" customHeight="1" x14ac:dyDescent="0.3">
      <c r="A25" s="25" t="s">
        <v>57</v>
      </c>
      <c r="B25" s="26"/>
      <c r="C25" s="28" t="str">
        <f>IF(C24=0,"Pendente",IF(C24&lt;COUNTA(Cadastro!$B$5:$B$22),"Parcial","Completo"))</f>
        <v>Parcial</v>
      </c>
      <c r="D25" s="28" t="str">
        <f>IF(D24=0,"Pendente",IF(D24&lt;COUNTA(Cadastro!$B$5:$B$22),"Parcial","Completo"))</f>
        <v>Parcial</v>
      </c>
      <c r="E25" s="28" t="str">
        <f>IF(E24=0,"Pendente",IF(E24&lt;COUNTA(Cadastro!$B$5:$B$22),"Parcial","Completo"))</f>
        <v>Parcial</v>
      </c>
      <c r="F25" s="28" t="str">
        <f>IF(F24=0,"Pendente",IF(F24&lt;COUNTA(Cadastro!$B$5:$B$22),"Parcial","Completo"))</f>
        <v>Parcial</v>
      </c>
      <c r="G25" s="28" t="str">
        <f>IF(G24=0,"Pendente",IF(G24&lt;COUNTA(Cadastro!$B$5:$B$22),"Parcial","Completo"))</f>
        <v>Parcial</v>
      </c>
      <c r="H25" s="28" t="str">
        <f>IF(H24=0,"Pendente",IF(H24&lt;COUNTA(Cadastro!$B$5:$B$22),"Parcial","Completo"))</f>
        <v>Parcial</v>
      </c>
      <c r="I25" s="28" t="str">
        <f>IF(I24=0,"Pendente",IF(I24&lt;COUNTA(Cadastro!$B$5:$B$22),"Parcial","Completo"))</f>
        <v>Parcial</v>
      </c>
      <c r="J25" s="28" t="str">
        <f>IF(J24=0,"Pendente",IF(J24&lt;COUNTA(Cadastro!$B$5:$B$22),"Parcial","Completo"))</f>
        <v>Parcial</v>
      </c>
      <c r="K25" s="28" t="str">
        <f>IF(K24=0,"Pendente",IF(K24&lt;COUNTA(Cadastro!$B$5:$B$22),"Parcial","Completo"))</f>
        <v>Parcial</v>
      </c>
      <c r="L25" s="28" t="str">
        <f>IF(L24=0,"Pendente",IF(L24&lt;COUNTA(Cadastro!$B$5:$B$22),"Parcial","Completo"))</f>
        <v>Pendente</v>
      </c>
      <c r="M25" s="28" t="str">
        <f>IF(M24=0,"Pendente",IF(M24&lt;COUNTA(Cadastro!$B$5:$B$22),"Parcial","Completo"))</f>
        <v>Pendente</v>
      </c>
      <c r="N25" s="28" t="str">
        <f>IF(N24=0,"Pendente",IF(N24&lt;COUNTA(Cadastro!$B$5:$B$22),"Parcial","Completo"))</f>
        <v>Pendente</v>
      </c>
    </row>
  </sheetData>
  <conditionalFormatting sqref="C25:N25">
    <cfRule type="cellIs" dxfId="2" priority="2" operator="equal">
      <formula>"Completo"</formula>
    </cfRule>
    <cfRule type="cellIs" dxfId="1" priority="3" operator="equal">
      <formula>"Parcial"</formula>
    </cfRule>
    <cfRule type="cellIs" dxfId="0" priority="4" operator="equal">
      <formula>"Pendente"</formula>
    </cfRule>
  </conditionalFormatting>
  <dataValidations count="1">
    <dataValidation type="decimal" operator="greaterThanOrEqual" allowBlank="1" errorTitle="Valor inválido" error="Digite apenas números (valor em R$)." sqref="C5:N15 K16:N16 C17:N22" xr:uid="{00000000-0002-0000-01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P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5" sqref="L5"/>
    </sheetView>
  </sheetViews>
  <sheetFormatPr defaultColWidth="8.6640625" defaultRowHeight="14.4" x14ac:dyDescent="0.3"/>
  <cols>
    <col min="1" max="1" width="26" style="1" customWidth="1"/>
    <col min="2" max="2" width="20" style="1" customWidth="1"/>
    <col min="3" max="14" width="11" style="1" customWidth="1"/>
    <col min="15" max="16" width="14" style="1" customWidth="1"/>
  </cols>
  <sheetData>
    <row r="1" spans="1:16" ht="17.25" customHeight="1" x14ac:dyDescent="0.35">
      <c r="A1" s="29" t="s">
        <v>58</v>
      </c>
    </row>
    <row r="2" spans="1:16" ht="15" customHeight="1" x14ac:dyDescent="0.3">
      <c r="A2" s="30" t="s">
        <v>59</v>
      </c>
    </row>
    <row r="3" spans="1:16" ht="15" customHeight="1" x14ac:dyDescent="0.3">
      <c r="A3" s="31" t="s">
        <v>52</v>
      </c>
      <c r="C3" s="32">
        <v>1</v>
      </c>
      <c r="D3" s="32">
        <v>2</v>
      </c>
      <c r="E3" s="32">
        <v>3</v>
      </c>
      <c r="F3" s="32">
        <v>4</v>
      </c>
      <c r="G3" s="32">
        <v>5</v>
      </c>
      <c r="H3" s="32">
        <v>6</v>
      </c>
      <c r="I3" s="32">
        <v>7</v>
      </c>
      <c r="J3" s="32">
        <v>8</v>
      </c>
      <c r="K3" s="32">
        <v>9</v>
      </c>
      <c r="L3" s="32">
        <v>10</v>
      </c>
      <c r="M3" s="32">
        <v>11</v>
      </c>
      <c r="N3" s="32">
        <v>12</v>
      </c>
    </row>
    <row r="4" spans="1:16" ht="15" customHeight="1" x14ac:dyDescent="0.3">
      <c r="A4" s="33" t="s">
        <v>11</v>
      </c>
      <c r="B4" s="33" t="s">
        <v>60</v>
      </c>
      <c r="C4" s="33" t="s">
        <v>14</v>
      </c>
      <c r="D4" s="33" t="s">
        <v>15</v>
      </c>
      <c r="E4" s="33" t="s">
        <v>16</v>
      </c>
      <c r="F4" s="33" t="s">
        <v>17</v>
      </c>
      <c r="G4" s="33" t="s">
        <v>18</v>
      </c>
      <c r="H4" s="33" t="s">
        <v>19</v>
      </c>
      <c r="I4" s="33" t="s">
        <v>20</v>
      </c>
      <c r="J4" s="33" t="s">
        <v>21</v>
      </c>
      <c r="K4" s="33" t="s">
        <v>22</v>
      </c>
      <c r="L4" s="33" t="s">
        <v>23</v>
      </c>
      <c r="M4" s="33" t="s">
        <v>24</v>
      </c>
      <c r="N4" s="33" t="s">
        <v>25</v>
      </c>
      <c r="O4" s="33" t="s">
        <v>48</v>
      </c>
      <c r="P4" s="33" t="s">
        <v>54</v>
      </c>
    </row>
    <row r="5" spans="1:16" ht="15" customHeight="1" x14ac:dyDescent="0.3">
      <c r="A5" s="34" t="s">
        <v>61</v>
      </c>
      <c r="B5" s="35" t="s">
        <v>62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7" t="str">
        <f t="shared" ref="O5:O14" si="0">IF(COUNT(C5:N5)=0,"",SUM(C5:N5))</f>
        <v/>
      </c>
      <c r="P5" s="37" t="str">
        <f t="shared" ref="P5:P14" si="1">IF(COUNT(C5:N5)=0,"",AVERAGE(C5:N5))</f>
        <v/>
      </c>
    </row>
    <row r="6" spans="1:16" ht="15" customHeight="1" x14ac:dyDescent="0.3">
      <c r="A6" s="34"/>
      <c r="B6" s="34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7" t="str">
        <f t="shared" si="0"/>
        <v/>
      </c>
      <c r="P6" s="37" t="str">
        <f t="shared" si="1"/>
        <v/>
      </c>
    </row>
    <row r="7" spans="1:16" ht="15" customHeight="1" x14ac:dyDescent="0.3">
      <c r="A7" s="34"/>
      <c r="B7" s="34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7" t="str">
        <f t="shared" si="0"/>
        <v/>
      </c>
      <c r="P7" s="37" t="str">
        <f t="shared" si="1"/>
        <v/>
      </c>
    </row>
    <row r="8" spans="1:16" ht="15" customHeight="1" x14ac:dyDescent="0.3">
      <c r="A8" s="34"/>
      <c r="B8" s="34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 t="str">
        <f t="shared" si="0"/>
        <v/>
      </c>
      <c r="P8" s="37" t="str">
        <f t="shared" si="1"/>
        <v/>
      </c>
    </row>
    <row r="9" spans="1:16" ht="15" customHeight="1" x14ac:dyDescent="0.3">
      <c r="A9" s="34"/>
      <c r="B9" s="34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7" t="str">
        <f t="shared" si="0"/>
        <v/>
      </c>
      <c r="P9" s="37" t="str">
        <f t="shared" si="1"/>
        <v/>
      </c>
    </row>
    <row r="10" spans="1:16" ht="15" customHeight="1" x14ac:dyDescent="0.3">
      <c r="A10" s="34"/>
      <c r="B10" s="34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7" t="str">
        <f t="shared" si="0"/>
        <v/>
      </c>
      <c r="P10" s="37" t="str">
        <f t="shared" si="1"/>
        <v/>
      </c>
    </row>
    <row r="11" spans="1:16" ht="15" customHeight="1" x14ac:dyDescent="0.3">
      <c r="A11" s="34"/>
      <c r="B11" s="34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7" t="str">
        <f t="shared" si="0"/>
        <v/>
      </c>
      <c r="P11" s="37" t="str">
        <f t="shared" si="1"/>
        <v/>
      </c>
    </row>
    <row r="12" spans="1:16" ht="15" customHeight="1" x14ac:dyDescent="0.3">
      <c r="A12" s="34"/>
      <c r="B12" s="34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7" t="str">
        <f t="shared" si="0"/>
        <v/>
      </c>
      <c r="P12" s="37" t="str">
        <f t="shared" si="1"/>
        <v/>
      </c>
    </row>
    <row r="13" spans="1:16" ht="15" customHeight="1" x14ac:dyDescent="0.3">
      <c r="A13" s="34"/>
      <c r="B13" s="34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 t="str">
        <f t="shared" si="0"/>
        <v/>
      </c>
      <c r="P13" s="37" t="str">
        <f t="shared" si="1"/>
        <v/>
      </c>
    </row>
    <row r="14" spans="1:16" ht="15" customHeight="1" x14ac:dyDescent="0.3">
      <c r="A14" s="34"/>
      <c r="B14" s="34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 t="str">
        <f t="shared" si="0"/>
        <v/>
      </c>
      <c r="P14" s="37" t="str">
        <f t="shared" si="1"/>
        <v/>
      </c>
    </row>
    <row r="16" spans="1:16" ht="15" customHeight="1" x14ac:dyDescent="0.3">
      <c r="A16" s="38" t="s">
        <v>55</v>
      </c>
      <c r="B16" s="39"/>
      <c r="C16" s="40">
        <f t="shared" ref="C16:N16" si="2">SUM(C5:C14)</f>
        <v>0</v>
      </c>
      <c r="D16" s="40">
        <f t="shared" si="2"/>
        <v>0</v>
      </c>
      <c r="E16" s="40">
        <f t="shared" si="2"/>
        <v>0</v>
      </c>
      <c r="F16" s="40">
        <f t="shared" si="2"/>
        <v>0</v>
      </c>
      <c r="G16" s="40">
        <f t="shared" si="2"/>
        <v>0</v>
      </c>
      <c r="H16" s="40">
        <f t="shared" si="2"/>
        <v>0</v>
      </c>
      <c r="I16" s="40">
        <f t="shared" si="2"/>
        <v>0</v>
      </c>
      <c r="J16" s="40">
        <f t="shared" si="2"/>
        <v>0</v>
      </c>
      <c r="K16" s="40">
        <f t="shared" si="2"/>
        <v>0</v>
      </c>
      <c r="L16" s="40">
        <f t="shared" si="2"/>
        <v>0</v>
      </c>
      <c r="M16" s="40">
        <f t="shared" si="2"/>
        <v>0</v>
      </c>
      <c r="N16" s="40">
        <f t="shared" si="2"/>
        <v>0</v>
      </c>
      <c r="O16" s="40">
        <f>SUM(C16:N16)</f>
        <v>0</v>
      </c>
      <c r="P16" s="40" t="e">
        <f>IF(COUNT(C17:N17)=0,"",O16/SUM(C17:N17))</f>
        <v>#DIV/0!</v>
      </c>
    </row>
    <row r="17" spans="1:14" ht="15" customHeight="1" x14ac:dyDescent="0.3">
      <c r="A17" s="41" t="s">
        <v>63</v>
      </c>
      <c r="B17" s="42"/>
      <c r="C17" s="43">
        <f t="shared" ref="C17:N17" si="3">IF(COUNT(C5:C14)=0,0,1)</f>
        <v>0</v>
      </c>
      <c r="D17" s="43">
        <f t="shared" si="3"/>
        <v>0</v>
      </c>
      <c r="E17" s="43">
        <f t="shared" si="3"/>
        <v>0</v>
      </c>
      <c r="F17" s="43">
        <f t="shared" si="3"/>
        <v>0</v>
      </c>
      <c r="G17" s="43">
        <f t="shared" si="3"/>
        <v>0</v>
      </c>
      <c r="H17" s="43">
        <f t="shared" si="3"/>
        <v>0</v>
      </c>
      <c r="I17" s="43">
        <f t="shared" si="3"/>
        <v>0</v>
      </c>
      <c r="J17" s="43">
        <f t="shared" si="3"/>
        <v>0</v>
      </c>
      <c r="K17" s="43">
        <f t="shared" si="3"/>
        <v>0</v>
      </c>
      <c r="L17" s="43">
        <f t="shared" si="3"/>
        <v>0</v>
      </c>
      <c r="M17" s="43">
        <f t="shared" si="3"/>
        <v>0</v>
      </c>
      <c r="N17" s="43">
        <f t="shared" si="3"/>
        <v>0</v>
      </c>
    </row>
  </sheetData>
  <dataValidations count="1">
    <dataValidation type="decimal" operator="greaterThanOrEqual" allowBlank="1" errorTitle="Valor inválido" error="Digite apenas números (valor em R$)." sqref="C5:N14" xr:uid="{00000000-0002-0000-02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6A6A6"/>
  </sheetPr>
  <dimension ref="A1:P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3" sqref="D13"/>
    </sheetView>
  </sheetViews>
  <sheetFormatPr defaultColWidth="8.6640625" defaultRowHeight="14.4" x14ac:dyDescent="0.3"/>
  <cols>
    <col min="1" max="1" width="77" style="1" bestFit="1" customWidth="1"/>
    <col min="2" max="2" width="18" style="1" customWidth="1"/>
    <col min="3" max="14" width="12.44140625" style="1" customWidth="1"/>
    <col min="15" max="16" width="15" style="1" customWidth="1"/>
  </cols>
  <sheetData>
    <row r="1" spans="1:16" ht="18" customHeight="1" x14ac:dyDescent="0.3">
      <c r="A1" s="13" t="s">
        <v>64</v>
      </c>
    </row>
    <row r="2" spans="1:16" ht="15" customHeight="1" x14ac:dyDescent="0.3">
      <c r="A2" s="14" t="s">
        <v>65</v>
      </c>
    </row>
    <row r="3" spans="1:16" ht="15" customHeight="1" x14ac:dyDescent="0.3">
      <c r="A3" s="15" t="s">
        <v>52</v>
      </c>
      <c r="C3" s="16">
        <v>1</v>
      </c>
      <c r="D3" s="16">
        <v>2</v>
      </c>
      <c r="E3" s="16">
        <v>3</v>
      </c>
      <c r="F3" s="16">
        <v>4</v>
      </c>
      <c r="G3" s="16">
        <v>5</v>
      </c>
      <c r="H3" s="16">
        <v>6</v>
      </c>
      <c r="I3" s="16">
        <v>7</v>
      </c>
      <c r="J3" s="16">
        <v>8</v>
      </c>
      <c r="K3" s="16">
        <v>9</v>
      </c>
      <c r="L3" s="16">
        <v>10</v>
      </c>
      <c r="M3" s="16">
        <v>11</v>
      </c>
      <c r="N3" s="16">
        <v>12</v>
      </c>
    </row>
    <row r="4" spans="1:16" ht="15" customHeight="1" x14ac:dyDescent="0.3">
      <c r="A4" s="17" t="s">
        <v>12</v>
      </c>
      <c r="B4" s="17" t="s">
        <v>53</v>
      </c>
      <c r="C4" s="17" t="s">
        <v>14</v>
      </c>
      <c r="D4" s="17" t="s">
        <v>15</v>
      </c>
      <c r="E4" s="17" t="s">
        <v>16</v>
      </c>
      <c r="F4" s="17" t="s">
        <v>17</v>
      </c>
      <c r="G4" s="17" t="s">
        <v>18</v>
      </c>
      <c r="H4" s="17" t="s">
        <v>19</v>
      </c>
      <c r="I4" s="17" t="s">
        <v>20</v>
      </c>
      <c r="J4" s="17" t="s">
        <v>21</v>
      </c>
      <c r="K4" s="17" t="s">
        <v>22</v>
      </c>
      <c r="L4" s="17" t="s">
        <v>23</v>
      </c>
      <c r="M4" s="17" t="s">
        <v>24</v>
      </c>
      <c r="N4" s="17" t="s">
        <v>25</v>
      </c>
      <c r="O4" s="17" t="s">
        <v>48</v>
      </c>
      <c r="P4" s="17" t="s">
        <v>54</v>
      </c>
    </row>
    <row r="5" spans="1:16" ht="15" customHeight="1" x14ac:dyDescent="0.3">
      <c r="A5" s="18" t="str">
        <f>IF(Cadastro!B5="","",Cadastro!B5)</f>
        <v>Água</v>
      </c>
      <c r="B5" s="19" t="str">
        <f>IF(Cadastro!C5="","",Cadastro!C5)</f>
        <v>Utilidades</v>
      </c>
      <c r="C5" s="20">
        <f>IF($A5="","",IF(MOD(C$3-N(Cadastro!$F5),Cadastro!$G5)=0,Cadastro!$D5,0))</f>
        <v>93.19</v>
      </c>
      <c r="D5" s="20">
        <f>IF($A5="","",IF(MOD(D$3-N(Cadastro!$F5),Cadastro!$G5)=0,Cadastro!$D5,0))</f>
        <v>93.19</v>
      </c>
      <c r="E5" s="20">
        <f>IF($A5="","",IF(MOD(E$3-N(Cadastro!$F5),Cadastro!$G5)=0,Cadastro!$D5,0))</f>
        <v>93.19</v>
      </c>
      <c r="F5" s="20">
        <f>IF($A5="","",IF(MOD(F$3-N(Cadastro!$F5),Cadastro!$G5)=0,Cadastro!$D5,0))</f>
        <v>93.19</v>
      </c>
      <c r="G5" s="20">
        <f>IF($A5="","",IF(MOD(G$3-N(Cadastro!$F5),Cadastro!$G5)=0,Cadastro!$D5,0))</f>
        <v>93.19</v>
      </c>
      <c r="H5" s="20">
        <f>IF($A5="","",IF(MOD(H$3-N(Cadastro!$F5),Cadastro!$G5)=0,Cadastro!$D5,0))</f>
        <v>93.19</v>
      </c>
      <c r="I5" s="20">
        <f>IF($A5="","",IF(MOD(I$3-N(Cadastro!$F5),Cadastro!$G5)=0,Cadastro!$D5,0))</f>
        <v>93.19</v>
      </c>
      <c r="J5" s="20">
        <f>IF($A5="","",IF(MOD(J$3-N(Cadastro!$F5),Cadastro!$G5)=0,Cadastro!$D5,0))</f>
        <v>93.19</v>
      </c>
      <c r="K5" s="20"/>
      <c r="L5" s="20"/>
      <c r="M5" s="20"/>
      <c r="N5" s="20"/>
      <c r="O5" s="21">
        <f t="shared" ref="O5:O20" si="0">IF($A5="","",SUM(C5:N5))</f>
        <v>745.52</v>
      </c>
      <c r="P5" s="22">
        <f t="shared" ref="P5:P20" si="1">IF(OR($A5="",COUNT(C5:N5)=0),"",AVERAGE(C5:N5))</f>
        <v>93.19</v>
      </c>
    </row>
    <row r="6" spans="1:16" ht="15" customHeight="1" x14ac:dyDescent="0.3">
      <c r="A6" s="18" t="str">
        <f>IF(Cadastro!B6="","",Cadastro!B6)</f>
        <v>Energia</v>
      </c>
      <c r="B6" s="19" t="str">
        <f>IF(Cadastro!C6="","",Cadastro!C6)</f>
        <v>Utilidades</v>
      </c>
      <c r="C6" s="20">
        <f>IF($A6="","",IF(MOD(C$3-N(Cadastro!$F6),Cadastro!$G6)=0,Cadastro!$D6,0))</f>
        <v>145.19</v>
      </c>
      <c r="D6" s="20">
        <f>IF($A6="","",IF(MOD(D$3-N(Cadastro!$F6),Cadastro!$G6)=0,Cadastro!$D6,0))</f>
        <v>145.19</v>
      </c>
      <c r="E6" s="20">
        <f>IF($A6="","",IF(MOD(E$3-N(Cadastro!$F6),Cadastro!$G6)=0,Cadastro!$D6,0))</f>
        <v>145.19</v>
      </c>
      <c r="F6" s="20">
        <f>IF($A6="","",IF(MOD(F$3-N(Cadastro!$F6),Cadastro!$G6)=0,Cadastro!$D6,0))</f>
        <v>145.19</v>
      </c>
      <c r="G6" s="20">
        <f>IF($A6="","",IF(MOD(G$3-N(Cadastro!$F6),Cadastro!$G6)=0,Cadastro!$D6,0))</f>
        <v>145.19</v>
      </c>
      <c r="H6" s="20">
        <f>IF($A6="","",IF(MOD(H$3-N(Cadastro!$F6),Cadastro!$G6)=0,Cadastro!$D6,0))</f>
        <v>145.19</v>
      </c>
      <c r="I6" s="20">
        <f>IF($A6="","",IF(MOD(I$3-N(Cadastro!$F6),Cadastro!$G6)=0,Cadastro!$D6,0))</f>
        <v>145.19</v>
      </c>
      <c r="J6" s="20">
        <f>IF($A6="","",IF(MOD(J$3-N(Cadastro!$F6),Cadastro!$G6)=0,Cadastro!$D6,0))</f>
        <v>145.19</v>
      </c>
      <c r="K6" s="20"/>
      <c r="L6" s="20"/>
      <c r="M6" s="20"/>
      <c r="N6" s="20"/>
      <c r="O6" s="21">
        <f t="shared" si="0"/>
        <v>1161.5200000000002</v>
      </c>
      <c r="P6" s="22">
        <f t="shared" si="1"/>
        <v>145.19000000000003</v>
      </c>
    </row>
    <row r="7" spans="1:16" ht="15" customHeight="1" x14ac:dyDescent="0.3">
      <c r="A7" s="18" t="str">
        <f>IF(Cadastro!B7="","",Cadastro!B7)</f>
        <v>Seguro galpão</v>
      </c>
      <c r="B7" s="19" t="str">
        <f>IF(Cadastro!C7="","",Cadastro!C7)</f>
        <v>Seguros e Segurança</v>
      </c>
      <c r="C7" s="20">
        <v>2569.27</v>
      </c>
      <c r="D7" s="20">
        <f>IF($A7="","",IF(MOD(D$3-N(Cadastro!$F7),Cadastro!$G7)=0,Cadastro!$D7,0))</f>
        <v>0</v>
      </c>
      <c r="E7" s="20"/>
      <c r="F7" s="20">
        <f>IF($A7="","",IF(MOD(F$3-N(Cadastro!$F7),Cadastro!$G7)=0,Cadastro!$D7,0))</f>
        <v>0</v>
      </c>
      <c r="G7" s="20">
        <f>IF($A7="","",IF(MOD(G$3-N(Cadastro!$F7),Cadastro!$G7)=0,Cadastro!$D7,0))</f>
        <v>0</v>
      </c>
      <c r="H7" s="20">
        <f>IF($A7="","",IF(MOD(H$3-N(Cadastro!$F7),Cadastro!$G7)=0,Cadastro!$D7,0))</f>
        <v>0</v>
      </c>
      <c r="I7" s="20">
        <f>IF($A7="","",IF(MOD(I$3-N(Cadastro!$F7),Cadastro!$G7)=0,Cadastro!$D7,0))</f>
        <v>0</v>
      </c>
      <c r="J7" s="20">
        <f>IF($A7="","",IF(MOD(J$3-N(Cadastro!$F7),Cadastro!$G7)=0,Cadastro!$D7,0))</f>
        <v>0</v>
      </c>
      <c r="K7" s="20"/>
      <c r="L7" s="20"/>
      <c r="M7" s="20"/>
      <c r="N7" s="20"/>
      <c r="O7" s="21">
        <f t="shared" si="0"/>
        <v>2569.27</v>
      </c>
      <c r="P7" s="22">
        <f t="shared" si="1"/>
        <v>367.0385714285714</v>
      </c>
    </row>
    <row r="8" spans="1:16" ht="15" customHeight="1" x14ac:dyDescent="0.3">
      <c r="A8" s="18" t="str">
        <f>IF(Cadastro!B8="","",Cadastro!B8)</f>
        <v>Segurança Emive</v>
      </c>
      <c r="B8" s="19" t="str">
        <f>IF(Cadastro!C8="","",Cadastro!C8)</f>
        <v>Seguros e Segurança</v>
      </c>
      <c r="C8" s="20">
        <f>IF($A8="","",IF(MOD(C$3-N(Cadastro!$F8),Cadastro!$G8)=0,Cadastro!$D8,0))</f>
        <v>384</v>
      </c>
      <c r="D8" s="20">
        <f>IF($A8="","",IF(MOD(D$3-N(Cadastro!$F8),Cadastro!$G8)=0,Cadastro!$D8,0))</f>
        <v>384</v>
      </c>
      <c r="E8" s="20">
        <f>IF($A8="","",IF(MOD(E$3-N(Cadastro!$F8),Cadastro!$G8)=0,Cadastro!$D8,0))</f>
        <v>384</v>
      </c>
      <c r="F8" s="20">
        <f>IF($A8="","",IF(MOD(F$3-N(Cadastro!$F8),Cadastro!$G8)=0,Cadastro!$D8,0))</f>
        <v>384</v>
      </c>
      <c r="G8" s="20">
        <f>IF($A8="","",IF(MOD(G$3-N(Cadastro!$F8),Cadastro!$G8)=0,Cadastro!$D8,0))</f>
        <v>384</v>
      </c>
      <c r="H8" s="20">
        <f>IF($A8="","",IF(MOD(H$3-N(Cadastro!$F8),Cadastro!$G8)=0,Cadastro!$D8,0))</f>
        <v>384</v>
      </c>
      <c r="I8" s="20">
        <f>IF($A8="","",IF(MOD(I$3-N(Cadastro!$F8),Cadastro!$G8)=0,Cadastro!$D8,0))</f>
        <v>384</v>
      </c>
      <c r="J8" s="20">
        <f>IF($A8="","",IF(MOD(J$3-N(Cadastro!$F8),Cadastro!$G8)=0,Cadastro!$D8,0))</f>
        <v>384</v>
      </c>
      <c r="K8" s="20"/>
      <c r="L8" s="20"/>
      <c r="M8" s="20"/>
      <c r="N8" s="20"/>
      <c r="O8" s="21">
        <f t="shared" si="0"/>
        <v>3072</v>
      </c>
      <c r="P8" s="22">
        <f t="shared" si="1"/>
        <v>384</v>
      </c>
    </row>
    <row r="9" spans="1:16" ht="15" customHeight="1" x14ac:dyDescent="0.3">
      <c r="A9" s="18" t="str">
        <f>IF(Cadastro!B9="","",Cadastro!B9)</f>
        <v>Dedetização</v>
      </c>
      <c r="B9" s="19" t="str">
        <f>IF(Cadastro!C9="","",Cadastro!C9)</f>
        <v>Manutenção</v>
      </c>
      <c r="C9" s="20">
        <f>IF($A9="","",IF(MOD(C$3-N(Cadastro!$F9),Cadastro!$G9)=0,Cadastro!$D9,0))</f>
        <v>300</v>
      </c>
      <c r="D9" s="20">
        <f>IF($A9="","",IF(MOD(D$3-N(Cadastro!$F9),Cadastro!$G9)=0,Cadastro!$D9,0))</f>
        <v>0</v>
      </c>
      <c r="E9" s="20">
        <f>IF($A9="","",IF(MOD(E$3-N(Cadastro!$F9),Cadastro!$G9)=0,Cadastro!$D9,0))</f>
        <v>0</v>
      </c>
      <c r="F9" s="20">
        <f>IF($A9="","",IF(MOD(F$3-N(Cadastro!$F9),Cadastro!$G9)=0,Cadastro!$D9,0))</f>
        <v>0</v>
      </c>
      <c r="G9" s="20">
        <f>IF($A9="","",IF(MOD(G$3-N(Cadastro!$F9),Cadastro!$G9)=0,Cadastro!$D9,0))</f>
        <v>0</v>
      </c>
      <c r="H9" s="20">
        <f>IF($A9="","",IF(MOD(H$3-N(Cadastro!$F9),Cadastro!$G9)=0,Cadastro!$D9,0))</f>
        <v>0</v>
      </c>
      <c r="I9" s="20">
        <f>IF($A9="","",IF(MOD(I$3-N(Cadastro!$F9),Cadastro!$G9)=0,Cadastro!$D9,0))</f>
        <v>300</v>
      </c>
      <c r="J9" s="20">
        <f>IF($A9="","",IF(MOD(J$3-N(Cadastro!$F9),Cadastro!$G9)=0,Cadastro!$D9,0))</f>
        <v>0</v>
      </c>
      <c r="K9" s="20"/>
      <c r="L9" s="20"/>
      <c r="M9" s="20"/>
      <c r="N9" s="20"/>
      <c r="O9" s="21">
        <f t="shared" si="0"/>
        <v>600</v>
      </c>
      <c r="P9" s="22">
        <f t="shared" si="1"/>
        <v>75</v>
      </c>
    </row>
    <row r="10" spans="1:16" ht="15" customHeight="1" x14ac:dyDescent="0.3">
      <c r="A10" s="18" t="str">
        <f>IF(Cadastro!B10="","",Cadastro!B10)</f>
        <v>IPTU</v>
      </c>
      <c r="B10" s="19" t="str">
        <f>IF(Cadastro!C10="","",Cadastro!C10)</f>
        <v>Impostos e Taxas</v>
      </c>
      <c r="C10" s="20">
        <f>IF($A10="","",IF(MOD(C$3-N(Cadastro!$F10),Cadastro!$G10)=0,Cadastro!$D10,0))</f>
        <v>0</v>
      </c>
      <c r="D10" s="20">
        <f>IF($A10="","",IF(MOD(D$3-N(Cadastro!$F10),Cadastro!$G10)=0,Cadastro!$D10,0))</f>
        <v>2569.27</v>
      </c>
      <c r="E10" s="20">
        <f>IF($A10="","",IF(MOD(E$3-N(Cadastro!$F10),Cadastro!$G10)=0,Cadastro!$D10,0))</f>
        <v>0</v>
      </c>
      <c r="F10" s="20">
        <f>IF($A10="","",IF(MOD(F$3-N(Cadastro!$F10),Cadastro!$G10)=0,Cadastro!$D10,0))</f>
        <v>0</v>
      </c>
      <c r="G10" s="20">
        <f>IF($A10="","",IF(MOD(G$3-N(Cadastro!$F10),Cadastro!$G10)=0,Cadastro!$D10,0))</f>
        <v>0</v>
      </c>
      <c r="H10" s="20">
        <f>IF($A10="","",IF(MOD(H$3-N(Cadastro!$F10),Cadastro!$G10)=0,Cadastro!$D10,0))</f>
        <v>0</v>
      </c>
      <c r="I10" s="20">
        <f>IF($A10="","",IF(MOD(I$3-N(Cadastro!$F10),Cadastro!$G10)=0,Cadastro!$D10,0))</f>
        <v>0</v>
      </c>
      <c r="J10" s="20">
        <f>IF($A10="","",IF(MOD(J$3-N(Cadastro!$F10),Cadastro!$G10)=0,Cadastro!$D10,0))</f>
        <v>0</v>
      </c>
      <c r="K10" s="20"/>
      <c r="L10" s="20"/>
      <c r="M10" s="20"/>
      <c r="N10" s="20"/>
      <c r="O10" s="21">
        <f t="shared" si="0"/>
        <v>2569.27</v>
      </c>
      <c r="P10" s="22">
        <f t="shared" si="1"/>
        <v>321.15875</v>
      </c>
    </row>
    <row r="11" spans="1:16" ht="15" customHeight="1" x14ac:dyDescent="0.3">
      <c r="A11" s="18" t="str">
        <f>IF(Cadastro!B11="","",Cadastro!B11)</f>
        <v>Controle de Ponto</v>
      </c>
      <c r="B11" s="19" t="str">
        <f>IF(Cadastro!C11="","",Cadastro!C11)</f>
        <v>Pessoal</v>
      </c>
      <c r="C11" s="20">
        <f>IF($A11="","",IF(MOD(C$3-N(Cadastro!$F11),Cadastro!$G11)=0,Cadastro!$D11,0))</f>
        <v>118</v>
      </c>
      <c r="D11" s="20">
        <f>IF($A11="","",IF(MOD(D$3-N(Cadastro!$F11),Cadastro!$G11)=0,Cadastro!$D11,0))</f>
        <v>118</v>
      </c>
      <c r="E11" s="20">
        <f>IF($A11="","",IF(MOD(E$3-N(Cadastro!$F11),Cadastro!$G11)=0,Cadastro!$D11,0))</f>
        <v>118</v>
      </c>
      <c r="F11" s="20">
        <f>IF($A11="","",IF(MOD(F$3-N(Cadastro!$F11),Cadastro!$G11)=0,Cadastro!$D11,0))</f>
        <v>118</v>
      </c>
      <c r="G11" s="20">
        <f>IF($A11="","",IF(MOD(G$3-N(Cadastro!$F11),Cadastro!$G11)=0,Cadastro!$D11,0))</f>
        <v>118</v>
      </c>
      <c r="H11" s="20">
        <f>IF($A11="","",IF(MOD(H$3-N(Cadastro!$F11),Cadastro!$G11)=0,Cadastro!$D11,0))</f>
        <v>118</v>
      </c>
      <c r="I11" s="20">
        <f>IF($A11="","",IF(MOD(I$3-N(Cadastro!$F11),Cadastro!$G11)=0,Cadastro!$D11,0))</f>
        <v>118</v>
      </c>
      <c r="J11" s="20">
        <f>IF($A11="","",IF(MOD(J$3-N(Cadastro!$F11),Cadastro!$G11)=0,Cadastro!$D11,0))</f>
        <v>118</v>
      </c>
      <c r="K11" s="20"/>
      <c r="L11" s="20"/>
      <c r="M11" s="20"/>
      <c r="N11" s="20"/>
      <c r="O11" s="21">
        <f t="shared" si="0"/>
        <v>944</v>
      </c>
      <c r="P11" s="22">
        <f t="shared" si="1"/>
        <v>118</v>
      </c>
    </row>
    <row r="12" spans="1:16" ht="15" customHeight="1" x14ac:dyDescent="0.3">
      <c r="A12" s="18" t="str">
        <f>IF(Cadastro!B12="","",Cadastro!B12)</f>
        <v>Extintores</v>
      </c>
      <c r="B12" s="19" t="str">
        <f>IF(Cadastro!C12="","",Cadastro!C12)</f>
        <v>Manutenção</v>
      </c>
      <c r="C12" s="20">
        <f>IF($A12="","",IF(MOD(C$3-N(Cadastro!$F12),Cadastro!$G12)=0,Cadastro!$D12,0))</f>
        <v>0</v>
      </c>
      <c r="D12" s="20">
        <f>IF($A12="","",IF(MOD(D$3-N(Cadastro!$F12),Cadastro!$G12)=0,Cadastro!$D12,0))</f>
        <v>0</v>
      </c>
      <c r="E12" s="20">
        <f>IF($A12="","",IF(MOD(E$3-N(Cadastro!$F12),Cadastro!$G12)=0,Cadastro!$D12,0))</f>
        <v>0</v>
      </c>
      <c r="F12" s="20">
        <f>IF($A12="","",IF(MOD(F$3-N(Cadastro!$F12),Cadastro!$G12)=0,Cadastro!$D12,0))</f>
        <v>0</v>
      </c>
      <c r="G12" s="20">
        <f>IF($A12="","",IF(MOD(G$3-N(Cadastro!$F12),Cadastro!$G12)=0,Cadastro!$D12,0))</f>
        <v>0</v>
      </c>
      <c r="H12" s="20">
        <f>IF($A12="","",IF(MOD(H$3-N(Cadastro!$F12),Cadastro!$G12)=0,Cadastro!$D12,0))</f>
        <v>570</v>
      </c>
      <c r="I12" s="20">
        <f>IF($A12="","",IF(MOD(I$3-N(Cadastro!$F12),Cadastro!$G12)=0,Cadastro!$D12,0))</f>
        <v>0</v>
      </c>
      <c r="J12" s="20">
        <f>IF($A12="","",IF(MOD(J$3-N(Cadastro!$F12),Cadastro!$G12)=0,Cadastro!$D12,0))</f>
        <v>0</v>
      </c>
      <c r="K12" s="20"/>
      <c r="L12" s="20"/>
      <c r="M12" s="20"/>
      <c r="N12" s="20"/>
      <c r="O12" s="21">
        <f t="shared" si="0"/>
        <v>570</v>
      </c>
      <c r="P12" s="22">
        <f t="shared" si="1"/>
        <v>71.25</v>
      </c>
    </row>
    <row r="13" spans="1:16" ht="15" customHeight="1" x14ac:dyDescent="0.3">
      <c r="A13" s="18" t="str">
        <f>IF(Cadastro!B13="","",Cadastro!B13)</f>
        <v>Internet</v>
      </c>
      <c r="B13" s="19" t="str">
        <f>IF(Cadastro!C13="","",Cadastro!C13)</f>
        <v>Utilidades</v>
      </c>
      <c r="C13" s="20">
        <f>IF($A13="","",IF(MOD(C$3-N(Cadastro!$F13),Cadastro!$G13)=0,Cadastro!$D13,0))</f>
        <v>167.71</v>
      </c>
      <c r="D13" s="20">
        <f>IF($A13="","",IF(MOD(D$3-N(Cadastro!$F13),Cadastro!$G13)=0,Cadastro!$D13,0))</f>
        <v>167.71</v>
      </c>
      <c r="E13" s="20">
        <f>IF($A13="","",IF(MOD(E$3-N(Cadastro!$F13),Cadastro!$G13)=0,Cadastro!$D13,0))</f>
        <v>167.71</v>
      </c>
      <c r="F13" s="20">
        <f>IF($A13="","",IF(MOD(F$3-N(Cadastro!$F13),Cadastro!$G13)=0,Cadastro!$D13,0))</f>
        <v>167.71</v>
      </c>
      <c r="G13" s="20">
        <f>IF($A13="","",IF(MOD(G$3-N(Cadastro!$F13),Cadastro!$G13)=0,Cadastro!$D13,0))</f>
        <v>167.71</v>
      </c>
      <c r="H13" s="20">
        <f>IF($A13="","",IF(MOD(H$3-N(Cadastro!$F13),Cadastro!$G13)=0,Cadastro!$D13,0))</f>
        <v>167.71</v>
      </c>
      <c r="I13" s="20">
        <f>IF($A13="","",IF(MOD(I$3-N(Cadastro!$F13),Cadastro!$G13)=0,Cadastro!$D13,0))</f>
        <v>167.71</v>
      </c>
      <c r="J13" s="20">
        <f>IF($A13="","",IF(MOD(J$3-N(Cadastro!$F13),Cadastro!$G13)=0,Cadastro!$D13,0))</f>
        <v>167.71</v>
      </c>
      <c r="K13" s="20"/>
      <c r="L13" s="20"/>
      <c r="M13" s="20"/>
      <c r="N13" s="20"/>
      <c r="O13" s="21">
        <f t="shared" si="0"/>
        <v>1341.68</v>
      </c>
      <c r="P13" s="22">
        <f t="shared" si="1"/>
        <v>167.71</v>
      </c>
    </row>
    <row r="14" spans="1:16" ht="15" customHeight="1" x14ac:dyDescent="0.3">
      <c r="A14" s="18" t="str">
        <f>IF(Cadastro!B14="","",Cadastro!B14)</f>
        <v>Funcionários</v>
      </c>
      <c r="B14" s="19" t="str">
        <f>IF(Cadastro!C14="","",Cadastro!C14)</f>
        <v>Pessoal</v>
      </c>
      <c r="C14" s="20">
        <f>IF($A14="","",IF(MOD(C$3-N(Cadastro!$F14),Cadastro!$G14)=0,Cadastro!$D14,0))</f>
        <v>14212.81</v>
      </c>
      <c r="D14" s="20">
        <f>IF($A14="","",IF(MOD(D$3-N(Cadastro!$F14),Cadastro!$G14)=0,Cadastro!$D14,0))</f>
        <v>14212.81</v>
      </c>
      <c r="E14" s="20">
        <f>IF($A14="","",IF(MOD(E$3-N(Cadastro!$F14),Cadastro!$G14)=0,Cadastro!$D14,0))</f>
        <v>14212.81</v>
      </c>
      <c r="F14" s="20">
        <f>IF($A14="","",IF(MOD(F$3-N(Cadastro!$F14),Cadastro!$G14)=0,Cadastro!$D14,0))</f>
        <v>14212.81</v>
      </c>
      <c r="G14" s="20">
        <f>IF($A14="","",IF(MOD(G$3-N(Cadastro!$F14),Cadastro!$G14)=0,Cadastro!$D14,0))</f>
        <v>14212.81</v>
      </c>
      <c r="H14" s="20">
        <f>IF($A14="","",IF(MOD(H$3-N(Cadastro!$F14),Cadastro!$G14)=0,Cadastro!$D14,0))</f>
        <v>14212.81</v>
      </c>
      <c r="I14" s="20">
        <f>IF($A14="","",IF(MOD(I$3-N(Cadastro!$F14),Cadastro!$G14)=0,Cadastro!$D14,0))</f>
        <v>14212.81</v>
      </c>
      <c r="J14" s="20">
        <f>IF($A14="","",IF(MOD(J$3-N(Cadastro!$F14),Cadastro!$G14)=0,Cadastro!$D14,0))</f>
        <v>14212.81</v>
      </c>
      <c r="K14" s="20"/>
      <c r="L14" s="20"/>
      <c r="M14" s="20"/>
      <c r="N14" s="20"/>
      <c r="O14" s="21">
        <f t="shared" si="0"/>
        <v>113702.48</v>
      </c>
      <c r="P14" s="22">
        <f t="shared" si="1"/>
        <v>14212.81</v>
      </c>
    </row>
    <row r="15" spans="1:16" ht="15" customHeight="1" x14ac:dyDescent="0.3">
      <c r="A15" s="18" t="s">
        <v>101</v>
      </c>
      <c r="B15" s="19" t="str">
        <f>IF(Cadastro!C15="","",Cadastro!C15)</f>
        <v>Veiculo</v>
      </c>
      <c r="C15" s="20">
        <v>4088.84</v>
      </c>
      <c r="D15" s="20">
        <v>2962.04</v>
      </c>
      <c r="E15" s="20">
        <v>5025.17</v>
      </c>
      <c r="F15" s="20">
        <v>4646.7700000000004</v>
      </c>
      <c r="G15" s="20">
        <f>3707.55</f>
        <v>3707.55</v>
      </c>
      <c r="H15" s="20">
        <v>3652.23</v>
      </c>
      <c r="I15" s="20">
        <f>3860.97+298.55</f>
        <v>4159.5199999999995</v>
      </c>
      <c r="J15" s="20">
        <f>2380.73+110.17</f>
        <v>2490.9</v>
      </c>
      <c r="K15" s="20"/>
      <c r="L15" s="20"/>
      <c r="M15" s="20"/>
      <c r="N15" s="20"/>
      <c r="O15" s="21">
        <f>IF($A15="","",SUM(C15:N15))</f>
        <v>30733.02</v>
      </c>
      <c r="P15" s="22">
        <f>IF(OR($A15="",COUNT(C15:N15)=0),"",AVERAGE(C15:N15))</f>
        <v>3841.6275000000001</v>
      </c>
    </row>
    <row r="16" spans="1:16" ht="15" customHeight="1" x14ac:dyDescent="0.3">
      <c r="A16" s="55" t="s">
        <v>110</v>
      </c>
      <c r="B16" s="19" t="str">
        <f>IF(Cadastro!C16="","",Cadastro!C16)</f>
        <v>Manutenção</v>
      </c>
      <c r="C16" s="53"/>
      <c r="D16" s="53"/>
      <c r="E16" s="53"/>
      <c r="F16" s="53">
        <v>300</v>
      </c>
      <c r="G16" s="53">
        <v>1127</v>
      </c>
      <c r="H16" s="53">
        <v>8106</v>
      </c>
      <c r="I16" s="53"/>
      <c r="J16" s="53"/>
      <c r="K16" s="20"/>
      <c r="L16" s="20"/>
      <c r="M16" s="20"/>
      <c r="N16" s="20"/>
      <c r="O16" s="21">
        <f t="shared" si="0"/>
        <v>9533</v>
      </c>
      <c r="P16" s="22">
        <f t="shared" si="1"/>
        <v>3177.6666666666665</v>
      </c>
    </row>
    <row r="17" spans="1:16" ht="15" customHeight="1" x14ac:dyDescent="0.3">
      <c r="A17" s="18" t="str">
        <f>IF(Cadastro!B17="","",Cadastro!B17)</f>
        <v>Tubete</v>
      </c>
      <c r="B17" s="19" t="str">
        <f>IF(Cadastro!C17="","",Cadastro!C17)</f>
        <v>Insumo</v>
      </c>
      <c r="C17" s="20">
        <v>15443.95</v>
      </c>
      <c r="D17" s="20">
        <v>11826.15</v>
      </c>
      <c r="E17" s="20">
        <v>10391.35</v>
      </c>
      <c r="F17" s="20">
        <v>17694.650000000001</v>
      </c>
      <c r="G17" s="20">
        <v>9866.7999999999993</v>
      </c>
      <c r="H17" s="20">
        <v>11657.35</v>
      </c>
      <c r="I17" s="20">
        <v>22825.5</v>
      </c>
      <c r="J17" s="20">
        <v>12575.45</v>
      </c>
      <c r="K17" s="20"/>
      <c r="L17" s="20"/>
      <c r="M17" s="20"/>
      <c r="N17" s="20"/>
      <c r="O17" s="21">
        <f t="shared" si="0"/>
        <v>112281.2</v>
      </c>
      <c r="P17" s="22">
        <f t="shared" si="1"/>
        <v>14035.15</v>
      </c>
    </row>
    <row r="18" spans="1:16" ht="15" customHeight="1" x14ac:dyDescent="0.3">
      <c r="A18" s="18" t="str">
        <f>IF(Cadastro!B18="","",Cadastro!B18)</f>
        <v>Manutenção Predial</v>
      </c>
      <c r="B18" s="19" t="str">
        <f>IF(Cadastro!C18="","",Cadastro!C18)</f>
        <v>Manutenção</v>
      </c>
      <c r="C18" s="20">
        <v>1180</v>
      </c>
      <c r="D18" s="20">
        <v>1090</v>
      </c>
      <c r="E18" s="20">
        <v>150</v>
      </c>
      <c r="F18" s="20">
        <v>120</v>
      </c>
      <c r="G18" s="20">
        <v>100</v>
      </c>
      <c r="H18" s="20"/>
      <c r="I18" s="20">
        <v>458</v>
      </c>
      <c r="J18" s="20">
        <v>1100</v>
      </c>
      <c r="K18" s="20"/>
      <c r="L18" s="20"/>
      <c r="M18" s="20"/>
      <c r="N18" s="20"/>
      <c r="O18" s="21">
        <f t="shared" si="0"/>
        <v>4198</v>
      </c>
      <c r="P18" s="22">
        <f t="shared" si="1"/>
        <v>599.71428571428567</v>
      </c>
    </row>
    <row r="19" spans="1:16" ht="15" customHeight="1" x14ac:dyDescent="0.3">
      <c r="A19" s="18" t="str">
        <f>IF(Cadastro!B19="","",Cadastro!B19)</f>
        <v>Seguro do Caminhão</v>
      </c>
      <c r="B19" s="19" t="str">
        <f>IF(Cadastro!C19="","",Cadastro!C19)</f>
        <v>Veiculo</v>
      </c>
      <c r="C19" s="20">
        <v>464.31166666666599</v>
      </c>
      <c r="D19" s="20">
        <v>464.31166666666599</v>
      </c>
      <c r="E19" s="20">
        <v>464.31166666666599</v>
      </c>
      <c r="F19" s="20">
        <v>464.31166666666599</v>
      </c>
      <c r="G19" s="20">
        <v>464.31166666666599</v>
      </c>
      <c r="H19" s="20">
        <v>464.31166666666599</v>
      </c>
      <c r="I19" s="20">
        <v>464.31166666666599</v>
      </c>
      <c r="J19" s="20">
        <v>464.31166666666599</v>
      </c>
      <c r="K19" s="20"/>
      <c r="L19" s="20"/>
      <c r="M19" s="20"/>
      <c r="N19" s="20"/>
      <c r="O19" s="21">
        <f t="shared" si="0"/>
        <v>3714.4933333333279</v>
      </c>
      <c r="P19" s="22">
        <f t="shared" si="1"/>
        <v>464.31166666666599</v>
      </c>
    </row>
    <row r="20" spans="1:16" ht="15" customHeight="1" x14ac:dyDescent="0.3">
      <c r="A20" s="55" t="str">
        <f>IF(Cadastro!B20="","",Cadastro!B20)</f>
        <v>Parcela Caminhão</v>
      </c>
      <c r="B20" s="19" t="str">
        <f>IF(Cadastro!C20="","",Cadastro!C20)</f>
        <v>Veiculo</v>
      </c>
      <c r="C20" s="20">
        <v>3379.49</v>
      </c>
      <c r="D20" s="20">
        <v>3379.49</v>
      </c>
      <c r="E20" s="20">
        <v>3379.49</v>
      </c>
      <c r="F20" s="20">
        <v>3379.49</v>
      </c>
      <c r="G20" s="20">
        <v>3379.49</v>
      </c>
      <c r="H20" s="20">
        <v>3379.49</v>
      </c>
      <c r="I20" s="20">
        <v>3379.49</v>
      </c>
      <c r="J20" s="20">
        <v>3379.49</v>
      </c>
      <c r="K20" s="20"/>
      <c r="L20" s="20"/>
      <c r="M20" s="20"/>
      <c r="N20" s="20"/>
      <c r="O20" s="21">
        <f t="shared" si="0"/>
        <v>27035.919999999991</v>
      </c>
      <c r="P20" s="22">
        <f t="shared" si="1"/>
        <v>3379.4899999999989</v>
      </c>
    </row>
    <row r="21" spans="1:16" ht="15" customHeight="1" x14ac:dyDescent="0.3">
      <c r="A21" s="55" t="str">
        <f>IF(Cadastro!B21="","",Cadastro!B21)</f>
        <v>Despesas Pessoal (EPI, Farda e Ferramentas, Diaristas)</v>
      </c>
      <c r="B21" s="19" t="s">
        <v>34</v>
      </c>
      <c r="C21" s="20"/>
      <c r="D21" s="20"/>
      <c r="E21" s="20"/>
      <c r="F21" s="20">
        <v>363</v>
      </c>
      <c r="G21" s="20"/>
      <c r="H21" s="20"/>
      <c r="I21" s="20"/>
      <c r="J21" s="20">
        <v>125</v>
      </c>
      <c r="K21" s="20"/>
      <c r="L21" s="20"/>
      <c r="M21" s="20"/>
      <c r="N21" s="20"/>
      <c r="O21" s="21">
        <f>IF($A21="","",SUM(C21:N21))</f>
        <v>488</v>
      </c>
      <c r="P21" s="22">
        <f>IF(OR($A21="",COUNT(C21:N21)=0),"",AVERAGE(C21:N21))</f>
        <v>244</v>
      </c>
    </row>
    <row r="22" spans="1:16" ht="15" customHeight="1" x14ac:dyDescent="0.3">
      <c r="A22" s="18" t="str">
        <f>IF(Cadastro!B22="","",Cadastro!B22)</f>
        <v xml:space="preserve">Outras Despesas </v>
      </c>
      <c r="B22" s="19" t="s">
        <v>34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/>
      <c r="L22" s="20"/>
      <c r="M22" s="20"/>
      <c r="N22" s="20"/>
      <c r="O22" s="21">
        <f>IF($A22="","",SUM(C22:N22))</f>
        <v>0</v>
      </c>
      <c r="P22" s="22">
        <f>IF(OR($A22="",COUNT(C22:N22)=0),"",AVERAGE(C22:N22))</f>
        <v>0</v>
      </c>
    </row>
    <row r="23" spans="1:16" ht="15" customHeight="1" x14ac:dyDescent="0.3">
      <c r="A23" s="24" t="s">
        <v>55</v>
      </c>
      <c r="B23" s="24"/>
      <c r="C23" s="24">
        <f>SUM(C5:C22)</f>
        <v>42546.761666666665</v>
      </c>
      <c r="D23" s="24">
        <f t="shared" ref="D23:P23" si="2">SUM(D5:D22)</f>
        <v>37412.161666666667</v>
      </c>
      <c r="E23" s="24">
        <f t="shared" si="2"/>
        <v>34531.221666666665</v>
      </c>
      <c r="F23" s="24">
        <f t="shared" si="2"/>
        <v>42089.121666666666</v>
      </c>
      <c r="G23" s="24">
        <f t="shared" si="2"/>
        <v>33766.051666666666</v>
      </c>
      <c r="H23" s="24">
        <f t="shared" si="2"/>
        <v>42950.281666666669</v>
      </c>
      <c r="I23" s="24">
        <f t="shared" si="2"/>
        <v>46707.721666666665</v>
      </c>
      <c r="J23" s="24">
        <f t="shared" si="2"/>
        <v>35256.051666666666</v>
      </c>
      <c r="K23" s="24">
        <f t="shared" si="2"/>
        <v>0</v>
      </c>
      <c r="L23" s="24">
        <f t="shared" si="2"/>
        <v>0</v>
      </c>
      <c r="M23" s="24">
        <f t="shared" si="2"/>
        <v>0</v>
      </c>
      <c r="N23" s="24">
        <f t="shared" si="2"/>
        <v>0</v>
      </c>
      <c r="O23" s="24">
        <f t="shared" si="2"/>
        <v>315259.37333333329</v>
      </c>
      <c r="P23" s="24">
        <f t="shared" si="2"/>
        <v>41697.307440476186</v>
      </c>
    </row>
  </sheetData>
  <dataValidations count="1">
    <dataValidation type="decimal" operator="greaterThanOrEqual" allowBlank="1" errorTitle="Valor inválido" error="Digite apenas números (valor em R$)." sqref="C17:N22 K16:N16 C5:N15" xr:uid="{00000000-0002-0000-03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L23"/>
  <sheetViews>
    <sheetView zoomScaleNormal="100" workbookViewId="0">
      <pane xSplit="2" ySplit="4" topLeftCell="C14" activePane="bottomRight" state="frozen"/>
      <selection pane="topRight" activeCell="C1" sqref="C1"/>
      <selection pane="bottomLeft" activeCell="A8" sqref="A8"/>
      <selection pane="bottomRight" activeCell="B23" sqref="B23"/>
    </sheetView>
  </sheetViews>
  <sheetFormatPr defaultColWidth="8.6640625" defaultRowHeight="14.4" x14ac:dyDescent="0.3"/>
  <cols>
    <col min="1" max="1" width="5" style="1" customWidth="1"/>
    <col min="2" max="2" width="52.88671875" style="1" bestFit="1" customWidth="1"/>
    <col min="3" max="3" width="20" style="1" customWidth="1"/>
    <col min="4" max="5" width="14" style="1" customWidth="1"/>
    <col min="6" max="6" width="16.6640625" style="1" customWidth="1"/>
    <col min="7" max="7" width="11" style="1" customWidth="1"/>
    <col min="8" max="9" width="16" style="1" customWidth="1"/>
    <col min="10" max="10" width="34" style="1" customWidth="1"/>
    <col min="11" max="11" width="3" style="1" customWidth="1"/>
    <col min="12" max="12" width="20" style="1" customWidth="1"/>
  </cols>
  <sheetData>
    <row r="1" spans="1:12" ht="18" customHeight="1" x14ac:dyDescent="0.3">
      <c r="A1" s="13" t="s">
        <v>66</v>
      </c>
    </row>
    <row r="2" spans="1:12" ht="25.5" customHeight="1" x14ac:dyDescent="0.3">
      <c r="A2" s="14" t="s">
        <v>67</v>
      </c>
      <c r="F2" s="44" t="s">
        <v>68</v>
      </c>
      <c r="G2" s="45">
        <v>2026</v>
      </c>
    </row>
    <row r="4" spans="1:12" ht="31.5" customHeight="1" x14ac:dyDescent="0.3">
      <c r="A4" s="17" t="s">
        <v>69</v>
      </c>
      <c r="B4" s="17" t="s">
        <v>12</v>
      </c>
      <c r="C4" s="17" t="s">
        <v>53</v>
      </c>
      <c r="D4" s="17" t="s">
        <v>70</v>
      </c>
      <c r="E4" s="17" t="s">
        <v>71</v>
      </c>
      <c r="F4" s="17" t="s">
        <v>72</v>
      </c>
      <c r="G4" s="17" t="s">
        <v>73</v>
      </c>
      <c r="H4" s="17" t="s">
        <v>74</v>
      </c>
      <c r="I4" s="17" t="s">
        <v>75</v>
      </c>
      <c r="J4" s="17" t="s">
        <v>76</v>
      </c>
      <c r="L4" s="46" t="s">
        <v>77</v>
      </c>
    </row>
    <row r="5" spans="1:12" ht="15" customHeight="1" x14ac:dyDescent="0.3">
      <c r="A5" s="47">
        <v>1</v>
      </c>
      <c r="B5" s="48" t="s">
        <v>78</v>
      </c>
      <c r="C5" s="48" t="s">
        <v>79</v>
      </c>
      <c r="D5" s="23">
        <v>93.19</v>
      </c>
      <c r="E5" s="49" t="s">
        <v>80</v>
      </c>
      <c r="F5" s="49"/>
      <c r="G5" s="27">
        <f t="shared" ref="G5:G14" si="0">IF(B5="","",IF(E5="Mensal",1,IF(E5="Trimestral",3,IF(E5="Semestral",6,12))))</f>
        <v>1</v>
      </c>
      <c r="H5" s="20">
        <f t="shared" ref="H5:H14" si="1">IF(B5="","",D5/G5)</f>
        <v>93.19</v>
      </c>
      <c r="I5" s="20"/>
      <c r="J5" s="50"/>
      <c r="L5" s="48" t="s">
        <v>34</v>
      </c>
    </row>
    <row r="6" spans="1:12" ht="15" customHeight="1" x14ac:dyDescent="0.3">
      <c r="A6" s="47">
        <v>2</v>
      </c>
      <c r="B6" s="48" t="s">
        <v>81</v>
      </c>
      <c r="C6" s="48" t="s">
        <v>79</v>
      </c>
      <c r="D6" s="23">
        <v>145.19</v>
      </c>
      <c r="E6" s="49" t="s">
        <v>80</v>
      </c>
      <c r="F6" s="49"/>
      <c r="G6" s="27">
        <f t="shared" si="0"/>
        <v>1</v>
      </c>
      <c r="H6" s="20">
        <f t="shared" si="1"/>
        <v>145.19</v>
      </c>
      <c r="I6" s="20"/>
      <c r="J6" s="50"/>
      <c r="L6" s="48" t="s">
        <v>79</v>
      </c>
    </row>
    <row r="7" spans="1:12" ht="15" customHeight="1" x14ac:dyDescent="0.3">
      <c r="A7" s="47">
        <v>3</v>
      </c>
      <c r="B7" s="48" t="s">
        <v>82</v>
      </c>
      <c r="C7" s="48" t="s">
        <v>83</v>
      </c>
      <c r="D7" s="23">
        <v>1744.5</v>
      </c>
      <c r="E7" s="49" t="s">
        <v>84</v>
      </c>
      <c r="F7" s="49">
        <v>3</v>
      </c>
      <c r="G7" s="27">
        <f t="shared" si="0"/>
        <v>12</v>
      </c>
      <c r="H7" s="20">
        <f t="shared" si="1"/>
        <v>145.375</v>
      </c>
      <c r="I7" s="20"/>
      <c r="J7" s="50" t="s">
        <v>85</v>
      </c>
      <c r="L7" s="48" t="s">
        <v>83</v>
      </c>
    </row>
    <row r="8" spans="1:12" ht="15" customHeight="1" x14ac:dyDescent="0.3">
      <c r="A8" s="47">
        <v>4</v>
      </c>
      <c r="B8" s="48" t="s">
        <v>86</v>
      </c>
      <c r="C8" s="48" t="s">
        <v>83</v>
      </c>
      <c r="D8" s="23">
        <v>384</v>
      </c>
      <c r="E8" s="49" t="s">
        <v>80</v>
      </c>
      <c r="F8" s="49"/>
      <c r="G8" s="27">
        <f t="shared" si="0"/>
        <v>1</v>
      </c>
      <c r="H8" s="20">
        <f t="shared" si="1"/>
        <v>384</v>
      </c>
      <c r="I8" s="20"/>
      <c r="J8" s="50"/>
      <c r="L8" s="48" t="s">
        <v>87</v>
      </c>
    </row>
    <row r="9" spans="1:12" ht="15" customHeight="1" x14ac:dyDescent="0.3">
      <c r="A9" s="47">
        <v>5</v>
      </c>
      <c r="B9" s="48" t="s">
        <v>88</v>
      </c>
      <c r="C9" s="48" t="s">
        <v>87</v>
      </c>
      <c r="D9" s="23">
        <v>300</v>
      </c>
      <c r="E9" s="49" t="s">
        <v>89</v>
      </c>
      <c r="F9" s="49">
        <v>1</v>
      </c>
      <c r="G9" s="27">
        <f t="shared" si="0"/>
        <v>6</v>
      </c>
      <c r="H9" s="20">
        <f t="shared" si="1"/>
        <v>50</v>
      </c>
      <c r="I9" s="20"/>
      <c r="J9" s="50" t="s">
        <v>90</v>
      </c>
      <c r="L9" s="48" t="s">
        <v>91</v>
      </c>
    </row>
    <row r="10" spans="1:12" ht="15" customHeight="1" x14ac:dyDescent="0.3">
      <c r="A10" s="47">
        <v>6</v>
      </c>
      <c r="B10" s="48" t="s">
        <v>92</v>
      </c>
      <c r="C10" s="48" t="s">
        <v>91</v>
      </c>
      <c r="D10" s="23">
        <v>2569.27</v>
      </c>
      <c r="E10" s="49" t="s">
        <v>84</v>
      </c>
      <c r="F10" s="49">
        <v>2</v>
      </c>
      <c r="G10" s="27">
        <f t="shared" si="0"/>
        <v>12</v>
      </c>
      <c r="H10" s="20">
        <f t="shared" si="1"/>
        <v>214.10583333333332</v>
      </c>
      <c r="I10" s="20"/>
      <c r="J10" s="50" t="s">
        <v>85</v>
      </c>
      <c r="L10" s="48" t="s">
        <v>93</v>
      </c>
    </row>
    <row r="11" spans="1:12" ht="15" customHeight="1" x14ac:dyDescent="0.3">
      <c r="A11" s="47">
        <v>7</v>
      </c>
      <c r="B11" s="48" t="s">
        <v>94</v>
      </c>
      <c r="C11" s="48" t="s">
        <v>34</v>
      </c>
      <c r="D11" s="23">
        <v>118</v>
      </c>
      <c r="E11" s="49" t="s">
        <v>80</v>
      </c>
      <c r="F11" s="49"/>
      <c r="G11" s="27">
        <f t="shared" si="0"/>
        <v>1</v>
      </c>
      <c r="H11" s="20">
        <f t="shared" si="1"/>
        <v>118</v>
      </c>
      <c r="I11" s="20"/>
      <c r="J11" s="50"/>
      <c r="L11" s="48" t="s">
        <v>103</v>
      </c>
    </row>
    <row r="12" spans="1:12" ht="15" customHeight="1" x14ac:dyDescent="0.3">
      <c r="A12" s="47">
        <v>8</v>
      </c>
      <c r="B12" s="48" t="s">
        <v>95</v>
      </c>
      <c r="C12" s="48" t="s">
        <v>87</v>
      </c>
      <c r="D12" s="23">
        <v>570</v>
      </c>
      <c r="E12" s="49" t="s">
        <v>84</v>
      </c>
      <c r="F12" s="49">
        <v>6</v>
      </c>
      <c r="G12" s="27">
        <f t="shared" si="0"/>
        <v>12</v>
      </c>
      <c r="H12" s="20">
        <f t="shared" si="1"/>
        <v>47.5</v>
      </c>
      <c r="I12" s="20"/>
      <c r="J12" s="50" t="s">
        <v>96</v>
      </c>
      <c r="L12" s="48" t="s">
        <v>104</v>
      </c>
    </row>
    <row r="13" spans="1:12" ht="15" customHeight="1" x14ac:dyDescent="0.3">
      <c r="A13" s="47">
        <v>9</v>
      </c>
      <c r="B13" s="48" t="s">
        <v>97</v>
      </c>
      <c r="C13" s="48" t="s">
        <v>79</v>
      </c>
      <c r="D13" s="23">
        <v>167.71</v>
      </c>
      <c r="E13" s="49" t="s">
        <v>80</v>
      </c>
      <c r="F13" s="49"/>
      <c r="G13" s="27">
        <f t="shared" si="0"/>
        <v>1</v>
      </c>
      <c r="H13" s="20">
        <f t="shared" si="1"/>
        <v>167.71</v>
      </c>
      <c r="I13" s="20"/>
      <c r="J13" s="50"/>
      <c r="L13" s="48" t="s">
        <v>105</v>
      </c>
    </row>
    <row r="14" spans="1:12" ht="15" customHeight="1" x14ac:dyDescent="0.3">
      <c r="A14" s="47">
        <v>10</v>
      </c>
      <c r="B14" s="48" t="s">
        <v>98</v>
      </c>
      <c r="C14" s="48" t="s">
        <v>34</v>
      </c>
      <c r="D14" s="23">
        <v>14212.81</v>
      </c>
      <c r="E14" s="49" t="s">
        <v>80</v>
      </c>
      <c r="F14" s="49"/>
      <c r="G14" s="27">
        <f t="shared" si="0"/>
        <v>1</v>
      </c>
      <c r="H14" s="20">
        <f t="shared" si="1"/>
        <v>14212.81</v>
      </c>
      <c r="I14" s="20"/>
      <c r="J14" s="50"/>
      <c r="L14" s="48"/>
    </row>
    <row r="15" spans="1:12" ht="15" customHeight="1" x14ac:dyDescent="0.3">
      <c r="A15" s="47">
        <v>14</v>
      </c>
      <c r="B15" s="48" t="s">
        <v>106</v>
      </c>
      <c r="C15" s="48" t="s">
        <v>103</v>
      </c>
      <c r="D15" s="23"/>
      <c r="E15" s="49"/>
      <c r="F15" s="49"/>
      <c r="G15" s="27">
        <f t="shared" ref="G15:G22" si="2">IF(B15="","",IF(E15="Mensal",1,IF(E15="Trimestral",3,IF(E15="Semestral",6,12))))</f>
        <v>12</v>
      </c>
      <c r="H15" s="20">
        <f t="shared" ref="H15:H22" si="3">IF(B15="","",D15/G15)</f>
        <v>0</v>
      </c>
      <c r="I15" s="20"/>
      <c r="J15" s="50"/>
    </row>
    <row r="16" spans="1:12" ht="15" customHeight="1" x14ac:dyDescent="0.3">
      <c r="A16" s="47">
        <v>15</v>
      </c>
      <c r="B16" s="48" t="s">
        <v>110</v>
      </c>
      <c r="C16" s="48" t="s">
        <v>87</v>
      </c>
      <c r="D16" s="23"/>
      <c r="E16" s="49"/>
      <c r="F16" s="49"/>
      <c r="G16" s="27">
        <f t="shared" si="2"/>
        <v>12</v>
      </c>
      <c r="H16" s="20">
        <f t="shared" si="3"/>
        <v>0</v>
      </c>
      <c r="I16" s="20">
        <f t="shared" ref="I16:I22" si="4">IF(B16="","",H16*12)</f>
        <v>0</v>
      </c>
      <c r="J16" s="50"/>
    </row>
    <row r="17" spans="1:10" ht="15" customHeight="1" x14ac:dyDescent="0.3">
      <c r="A17" s="47">
        <v>16</v>
      </c>
      <c r="B17" s="48" t="s">
        <v>102</v>
      </c>
      <c r="C17" s="48" t="s">
        <v>105</v>
      </c>
      <c r="D17" s="23"/>
      <c r="E17" s="49"/>
      <c r="F17" s="49"/>
      <c r="G17" s="27">
        <f t="shared" si="2"/>
        <v>12</v>
      </c>
      <c r="H17" s="20">
        <f t="shared" si="3"/>
        <v>0</v>
      </c>
      <c r="I17" s="20">
        <f t="shared" si="4"/>
        <v>0</v>
      </c>
      <c r="J17" s="50"/>
    </row>
    <row r="18" spans="1:10" ht="15" customHeight="1" x14ac:dyDescent="0.3">
      <c r="A18" s="47">
        <v>17</v>
      </c>
      <c r="B18" s="48" t="s">
        <v>107</v>
      </c>
      <c r="C18" s="48" t="s">
        <v>87</v>
      </c>
      <c r="D18" s="23"/>
      <c r="E18" s="49"/>
      <c r="F18" s="49"/>
      <c r="G18" s="27">
        <f t="shared" si="2"/>
        <v>12</v>
      </c>
      <c r="H18" s="20">
        <f t="shared" si="3"/>
        <v>0</v>
      </c>
      <c r="I18" s="20">
        <f t="shared" si="4"/>
        <v>0</v>
      </c>
      <c r="J18" s="50"/>
    </row>
    <row r="19" spans="1:10" ht="15" customHeight="1" x14ac:dyDescent="0.3">
      <c r="A19" s="47">
        <v>18</v>
      </c>
      <c r="B19" s="48" t="s">
        <v>108</v>
      </c>
      <c r="C19" s="48" t="s">
        <v>103</v>
      </c>
      <c r="D19" s="23"/>
      <c r="E19" s="49"/>
      <c r="F19" s="49"/>
      <c r="G19" s="27">
        <f t="shared" si="2"/>
        <v>12</v>
      </c>
      <c r="H19" s="20">
        <f t="shared" si="3"/>
        <v>0</v>
      </c>
      <c r="I19" s="20">
        <f t="shared" si="4"/>
        <v>0</v>
      </c>
      <c r="J19" s="50"/>
    </row>
    <row r="20" spans="1:10" ht="15" customHeight="1" x14ac:dyDescent="0.3">
      <c r="A20" s="47">
        <v>19</v>
      </c>
      <c r="B20" s="48" t="s">
        <v>109</v>
      </c>
      <c r="C20" s="48" t="s">
        <v>103</v>
      </c>
      <c r="D20" s="23"/>
      <c r="E20" s="49"/>
      <c r="F20" s="49"/>
      <c r="G20" s="27">
        <f t="shared" si="2"/>
        <v>12</v>
      </c>
      <c r="H20" s="20">
        <f t="shared" si="3"/>
        <v>0</v>
      </c>
      <c r="I20" s="20">
        <f t="shared" si="4"/>
        <v>0</v>
      </c>
      <c r="J20" s="50"/>
    </row>
    <row r="21" spans="1:10" ht="15" customHeight="1" x14ac:dyDescent="0.3">
      <c r="A21" s="47">
        <v>20</v>
      </c>
      <c r="B21" s="48" t="s">
        <v>112</v>
      </c>
      <c r="C21" s="48" t="s">
        <v>34</v>
      </c>
      <c r="D21" s="23"/>
      <c r="E21" s="49"/>
      <c r="F21" s="49"/>
      <c r="G21" s="27">
        <f t="shared" si="2"/>
        <v>12</v>
      </c>
      <c r="H21" s="20">
        <f t="shared" si="3"/>
        <v>0</v>
      </c>
      <c r="I21" s="20">
        <f t="shared" si="4"/>
        <v>0</v>
      </c>
      <c r="J21" s="50"/>
    </row>
    <row r="22" spans="1:10" ht="15" customHeight="1" x14ac:dyDescent="0.3">
      <c r="A22" s="47">
        <v>21</v>
      </c>
      <c r="B22" s="48" t="s">
        <v>111</v>
      </c>
      <c r="C22" s="48" t="s">
        <v>34</v>
      </c>
      <c r="D22" s="23"/>
      <c r="E22" s="49"/>
      <c r="F22" s="49"/>
      <c r="G22" s="27">
        <f t="shared" si="2"/>
        <v>12</v>
      </c>
      <c r="H22" s="20">
        <f t="shared" si="3"/>
        <v>0</v>
      </c>
      <c r="I22" s="20">
        <f t="shared" si="4"/>
        <v>0</v>
      </c>
      <c r="J22" s="50"/>
    </row>
    <row r="23" spans="1:10" ht="15" customHeight="1" x14ac:dyDescent="0.3">
      <c r="A23" s="51"/>
      <c r="B23" s="51" t="s">
        <v>99</v>
      </c>
      <c r="C23" s="51"/>
      <c r="D23" s="51"/>
      <c r="E23" s="51"/>
      <c r="F23" s="51"/>
      <c r="G23" s="51"/>
      <c r="H23" s="21">
        <f>SUM(H5:H22)</f>
        <v>15577.880833333333</v>
      </c>
      <c r="I23" s="21">
        <f>SUM(I5:I22)</f>
        <v>0</v>
      </c>
      <c r="J23" s="51"/>
    </row>
  </sheetData>
  <dataValidations count="3">
    <dataValidation type="list" allowBlank="1" sqref="E5:E22" xr:uid="{00000000-0002-0000-0400-000000000000}">
      <formula1>"Mensal,Trimestral,Semestral,Anual"</formula1>
      <formula2>0</formula2>
    </dataValidation>
    <dataValidation type="list" allowBlank="1" sqref="C5:C22" xr:uid="{00000000-0002-0000-0400-000001000000}">
      <formula1>OFFSET($L$5,0,0,COUNTA($L$5:$L$28),1)</formula1>
      <formula2>0</formula2>
    </dataValidation>
    <dataValidation type="whole" allowBlank="1" sqref="F5:F22" xr:uid="{00000000-0002-0000-0400-000002000000}">
      <formula1>1</formula1>
      <formula2>12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DASHBOARD</vt:lpstr>
      <vt:lpstr>Lançamentos</vt:lpstr>
      <vt:lpstr>Faturamento</vt:lpstr>
      <vt:lpstr>Orçado</vt:lpstr>
      <vt:lpstr>Cadastro</vt:lpstr>
      <vt:lpstr>DASHBOARD!Area_de_impressao</vt:lpstr>
      <vt:lpstr>Periodo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Lelisson Santos Campos</cp:lastModifiedBy>
  <cp:revision>4</cp:revision>
  <dcterms:created xsi:type="dcterms:W3CDTF">2026-09-23T17:34:23Z</dcterms:created>
  <dcterms:modified xsi:type="dcterms:W3CDTF">2026-10-07T20:02:47Z</dcterms:modified>
  <dc:language>en-US</dc:language>
</cp:coreProperties>
</file>